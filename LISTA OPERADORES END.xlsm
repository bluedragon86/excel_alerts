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filterPrivacy="1" codeName="EsteLivro"/>
  <xr:revisionPtr revIDLastSave="0" documentId="13_ncr:1_{CE40D244-442F-4FAC-9188-5764399263CF}" xr6:coauthVersionLast="47" xr6:coauthVersionMax="47" xr10:uidLastSave="{00000000-0000-0000-0000-000000000000}"/>
  <bookViews>
    <workbookView xWindow="25080" yWindow="-120" windowWidth="25440" windowHeight="15390" xr2:uid="{00000000-000D-0000-FFFF-FFFF00000000}"/>
  </bookViews>
  <sheets>
    <sheet name="LISTA GERAL" sheetId="1" r:id="rId1"/>
    <sheet name="Cálculo Acuidade" sheetId="4" r:id="rId2"/>
    <sheet name="Cálculo end" sheetId="3" r:id="rId3"/>
    <sheet name="Cont. Actividade" sheetId="6" r:id="rId4"/>
  </sheets>
  <definedNames>
    <definedName name="Acuidade">FILES('Cálculo Acuidade'!$C$4)</definedName>
    <definedName name="MT">FILES('Cálculo end'!$A$4)</definedName>
    <definedName name="PT">FILES('Cálculo end'!$A$7)</definedName>
    <definedName name="RX">FILES('Cálculo end'!$A$10)</definedName>
    <definedName name="UT">FILES('Cálculo end'!$A$13)</definedName>
    <definedName name="VT">FILES('Cálculo end'!$A$16)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" i="6" l="1"/>
  <c r="P15" i="6"/>
  <c r="P21" i="6"/>
  <c r="P28" i="6"/>
  <c r="P32" i="6"/>
  <c r="F32" i="6"/>
  <c r="G32" i="6" s="1"/>
  <c r="H32" i="6" s="1"/>
  <c r="I32" i="6" s="1"/>
  <c r="J32" i="6" s="1"/>
  <c r="K32" i="6" s="1"/>
  <c r="L32" i="6" s="1"/>
  <c r="M32" i="6" s="1"/>
  <c r="N32" i="6" s="1"/>
  <c r="O32" i="6" s="1"/>
  <c r="F10" i="6" l="1"/>
  <c r="G10" i="6" s="1"/>
  <c r="H10" i="6" s="1"/>
  <c r="I10" i="6" s="1"/>
  <c r="J10" i="6" s="1"/>
  <c r="K10" i="6" s="1"/>
  <c r="L10" i="6" s="1"/>
  <c r="M10" i="6" s="1"/>
  <c r="N10" i="6" s="1"/>
  <c r="O10" i="6" s="1"/>
  <c r="F21" i="6"/>
  <c r="G21" i="6" s="1"/>
  <c r="H21" i="6" s="1"/>
  <c r="I21" i="6" s="1"/>
  <c r="J21" i="6" s="1"/>
  <c r="K21" i="6" s="1"/>
  <c r="L21" i="6" s="1"/>
  <c r="M21" i="6" s="1"/>
  <c r="N21" i="6" s="1"/>
  <c r="O21" i="6" s="1"/>
  <c r="F28" i="6"/>
  <c r="G28" i="6" s="1"/>
  <c r="H28" i="6" s="1"/>
  <c r="I28" i="6" s="1"/>
  <c r="J28" i="6" s="1"/>
  <c r="K28" i="6" s="1"/>
  <c r="L28" i="6" s="1"/>
  <c r="M28" i="6" s="1"/>
  <c r="N28" i="6" s="1"/>
  <c r="O28" i="6" s="1"/>
  <c r="F15" i="6"/>
  <c r="G15" i="6" s="1"/>
  <c r="H15" i="6" s="1"/>
  <c r="I15" i="6" s="1"/>
  <c r="J15" i="6" s="1"/>
  <c r="K15" i="6" s="1"/>
  <c r="L15" i="6" s="1"/>
  <c r="M15" i="6" s="1"/>
  <c r="N15" i="6" s="1"/>
  <c r="O15" i="6" s="1"/>
  <c r="A10" i="3" l="1"/>
  <c r="W37" i="3"/>
  <c r="R182" i="4" l="1"/>
  <c r="S182" i="4"/>
  <c r="T182" i="4"/>
  <c r="U182" i="4" s="1"/>
  <c r="R183" i="4"/>
  <c r="S183" i="4"/>
  <c r="T183" i="4"/>
  <c r="U183" i="4" s="1"/>
  <c r="R184" i="4"/>
  <c r="S184" i="4"/>
  <c r="T184" i="4"/>
  <c r="U184" i="4" s="1"/>
  <c r="R185" i="4"/>
  <c r="S185" i="4"/>
  <c r="T185" i="4"/>
  <c r="U185" i="4" s="1"/>
  <c r="R186" i="4"/>
  <c r="S186" i="4"/>
  <c r="T186" i="4"/>
  <c r="U186" i="4" s="1"/>
  <c r="R187" i="4"/>
  <c r="S187" i="4"/>
  <c r="T187" i="4"/>
  <c r="U187" i="4" s="1"/>
  <c r="R188" i="4"/>
  <c r="S188" i="4"/>
  <c r="T188" i="4"/>
  <c r="U188" i="4" s="1"/>
  <c r="R189" i="4"/>
  <c r="S189" i="4"/>
  <c r="T189" i="4"/>
  <c r="U189" i="4" s="1"/>
  <c r="R190" i="4"/>
  <c r="S190" i="4"/>
  <c r="T190" i="4"/>
  <c r="U190" i="4" s="1"/>
  <c r="R191" i="4"/>
  <c r="S191" i="4"/>
  <c r="T191" i="4"/>
  <c r="U191" i="4" s="1"/>
  <c r="R192" i="4"/>
  <c r="S192" i="4"/>
  <c r="T192" i="4"/>
  <c r="U192" i="4" s="1"/>
  <c r="R193" i="4"/>
  <c r="S193" i="4"/>
  <c r="T193" i="4"/>
  <c r="U193" i="4" s="1"/>
  <c r="R194" i="4"/>
  <c r="S194" i="4"/>
  <c r="T194" i="4"/>
  <c r="U194" i="4" s="1"/>
  <c r="R195" i="4"/>
  <c r="S195" i="4"/>
  <c r="T195" i="4"/>
  <c r="U195" i="4" s="1"/>
  <c r="R196" i="4"/>
  <c r="S196" i="4"/>
  <c r="T196" i="4"/>
  <c r="U196" i="4" s="1"/>
  <c r="R197" i="4"/>
  <c r="S197" i="4"/>
  <c r="T197" i="4"/>
  <c r="U197" i="4" s="1"/>
  <c r="R198" i="4"/>
  <c r="S198" i="4"/>
  <c r="T198" i="4"/>
  <c r="U198" i="4" s="1"/>
  <c r="R199" i="4"/>
  <c r="S199" i="4"/>
  <c r="T199" i="4"/>
  <c r="U199" i="4" s="1"/>
  <c r="R200" i="4"/>
  <c r="S200" i="4"/>
  <c r="T200" i="4"/>
  <c r="U200" i="4" s="1"/>
  <c r="C4" i="4"/>
  <c r="W23" i="3"/>
  <c r="W12" i="3"/>
  <c r="W7" i="3"/>
  <c r="W19" i="3"/>
  <c r="W40" i="3"/>
  <c r="W33" i="3"/>
  <c r="W18" i="3"/>
  <c r="W10" i="3"/>
  <c r="W35" i="3"/>
  <c r="W9" i="3"/>
  <c r="W1" i="3"/>
  <c r="W47" i="3"/>
  <c r="W4" i="3"/>
  <c r="W29" i="3"/>
  <c r="W39" i="3"/>
  <c r="W3" i="3"/>
  <c r="W6" i="3"/>
  <c r="W24" i="3"/>
  <c r="W17" i="3"/>
  <c r="W5" i="3"/>
  <c r="W41" i="3"/>
  <c r="W15" i="3"/>
  <c r="W14" i="3"/>
  <c r="W20" i="3"/>
  <c r="W30" i="3"/>
  <c r="W34" i="3"/>
  <c r="W16" i="3"/>
  <c r="W22" i="3"/>
  <c r="W31" i="3"/>
  <c r="W11" i="3"/>
  <c r="W42" i="3"/>
  <c r="W36" i="3"/>
  <c r="W32" i="3"/>
  <c r="W51" i="3"/>
  <c r="W46" i="3"/>
  <c r="W26" i="3"/>
  <c r="W38" i="3"/>
  <c r="W52" i="3"/>
  <c r="W45" i="3"/>
  <c r="W27" i="3"/>
  <c r="W49" i="3"/>
  <c r="W2" i="3"/>
  <c r="W21" i="3"/>
  <c r="W8" i="3"/>
  <c r="W44" i="3"/>
  <c r="W43" i="3"/>
  <c r="W25" i="3"/>
  <c r="W28" i="3"/>
  <c r="W50" i="3"/>
  <c r="W13" i="3"/>
  <c r="W48" i="3"/>
  <c r="V121" i="4"/>
  <c r="T121" i="4" l="1"/>
  <c r="U121" i="4" s="1"/>
  <c r="R121" i="4"/>
  <c r="S121" i="4"/>
  <c r="V2" i="3"/>
  <c r="W121" i="4"/>
  <c r="A16" i="3"/>
  <c r="A13" i="3"/>
  <c r="A7" i="3"/>
  <c r="A4" i="3"/>
  <c r="V85" i="4"/>
  <c r="V141" i="4"/>
  <c r="V72" i="4"/>
  <c r="V164" i="4"/>
  <c r="V58" i="4"/>
  <c r="V29" i="4"/>
  <c r="O93" i="3"/>
  <c r="V92" i="4"/>
  <c r="V142" i="4"/>
  <c r="V41" i="4"/>
  <c r="V5" i="4"/>
  <c r="V159" i="4"/>
  <c r="V179" i="4"/>
  <c r="O26" i="3"/>
  <c r="O88" i="3"/>
  <c r="O20" i="3"/>
  <c r="O30" i="3"/>
  <c r="O53" i="3"/>
  <c r="V173" i="4"/>
  <c r="V131" i="4"/>
  <c r="V114" i="4"/>
  <c r="V82" i="4"/>
  <c r="V37" i="4"/>
  <c r="O61" i="3"/>
  <c r="V95" i="4"/>
  <c r="V149" i="4"/>
  <c r="V10" i="4"/>
  <c r="V180" i="4"/>
  <c r="O73" i="3"/>
  <c r="V62" i="4"/>
  <c r="V77" i="4"/>
  <c r="V38" i="4"/>
  <c r="O57" i="3"/>
  <c r="V30" i="4"/>
  <c r="O12" i="3"/>
  <c r="V155" i="4"/>
  <c r="O62" i="3"/>
  <c r="V19" i="4"/>
  <c r="O85" i="3"/>
  <c r="O55" i="3"/>
  <c r="V181" i="4"/>
  <c r="V94" i="4"/>
  <c r="V60" i="4"/>
  <c r="V139" i="4"/>
  <c r="AC1" i="3"/>
  <c r="V101" i="4"/>
  <c r="V93" i="4"/>
  <c r="O9" i="3"/>
  <c r="V36" i="4"/>
  <c r="V54" i="4"/>
  <c r="O43" i="3"/>
  <c r="O84" i="3"/>
  <c r="V55" i="4"/>
  <c r="V96" i="4"/>
  <c r="V176" i="4"/>
  <c r="O91" i="3"/>
  <c r="O83" i="3"/>
  <c r="V111" i="4"/>
  <c r="V122" i="4"/>
  <c r="V1" i="4"/>
  <c r="V165" i="4"/>
  <c r="O36" i="3"/>
  <c r="V26" i="4"/>
  <c r="O11" i="3"/>
  <c r="V74" i="4"/>
  <c r="O27" i="3"/>
  <c r="V23" i="4"/>
  <c r="V99" i="4"/>
  <c r="O47" i="3"/>
  <c r="V133" i="4"/>
  <c r="V7" i="4"/>
  <c r="V154" i="4"/>
  <c r="V168" i="4"/>
  <c r="V127" i="4"/>
  <c r="V157" i="4"/>
  <c r="O31" i="3"/>
  <c r="O40" i="3"/>
  <c r="V152" i="4"/>
  <c r="V113" i="4"/>
  <c r="V103" i="4"/>
  <c r="V87" i="4"/>
  <c r="V9" i="4"/>
  <c r="O18" i="3"/>
  <c r="V6" i="4"/>
  <c r="Z51" i="3"/>
  <c r="O71" i="3"/>
  <c r="O65" i="3"/>
  <c r="V56" i="4"/>
  <c r="O25" i="3"/>
  <c r="O17" i="3"/>
  <c r="V171" i="4"/>
  <c r="V15" i="4"/>
  <c r="V18" i="4"/>
  <c r="O38" i="3"/>
  <c r="O98" i="3"/>
  <c r="V79" i="4"/>
  <c r="O90" i="3"/>
  <c r="O66" i="3"/>
  <c r="O78" i="3"/>
  <c r="V124" i="4"/>
  <c r="V130" i="4"/>
  <c r="V151" i="4"/>
  <c r="O92" i="3"/>
  <c r="O77" i="3"/>
  <c r="O67" i="3"/>
  <c r="O34" i="3"/>
  <c r="V106" i="4"/>
  <c r="V33" i="4"/>
  <c r="V2" i="4"/>
  <c r="V81" i="4"/>
  <c r="V66" i="4"/>
  <c r="O42" i="3"/>
  <c r="V86" i="4"/>
  <c r="O22" i="3"/>
  <c r="V8" i="4"/>
  <c r="V100" i="4"/>
  <c r="V22" i="4"/>
  <c r="V39" i="4"/>
  <c r="V12" i="4"/>
  <c r="O49" i="3"/>
  <c r="V150" i="4"/>
  <c r="O59" i="3"/>
  <c r="V4" i="4"/>
  <c r="V108" i="4"/>
  <c r="V147" i="4"/>
  <c r="O100" i="3"/>
  <c r="O51" i="3"/>
  <c r="O19" i="3"/>
  <c r="V51" i="4"/>
  <c r="O97" i="3"/>
  <c r="V104" i="4"/>
  <c r="V65" i="4"/>
  <c r="V167" i="4"/>
  <c r="V162" i="4"/>
  <c r="V175" i="4"/>
  <c r="V73" i="4"/>
  <c r="V137" i="4"/>
  <c r="O68" i="3"/>
  <c r="V14" i="4"/>
  <c r="V61" i="4"/>
  <c r="V50" i="4"/>
  <c r="O75" i="3"/>
  <c r="V97" i="4"/>
  <c r="V161" i="4"/>
  <c r="O70" i="3"/>
  <c r="V132" i="4"/>
  <c r="V24" i="4"/>
  <c r="V21" i="4"/>
  <c r="V83" i="4"/>
  <c r="O82" i="3"/>
  <c r="V90" i="4"/>
  <c r="O76" i="3"/>
  <c r="O46" i="3"/>
  <c r="V136" i="4"/>
  <c r="V169" i="4"/>
  <c r="V135" i="4"/>
  <c r="O10" i="3"/>
  <c r="V115" i="4"/>
  <c r="O60" i="3"/>
  <c r="V16" i="4"/>
  <c r="O14" i="3"/>
  <c r="V156" i="4"/>
  <c r="V32" i="4"/>
  <c r="V109" i="4"/>
  <c r="V117" i="4"/>
  <c r="O15" i="3"/>
  <c r="V120" i="4"/>
  <c r="V163" i="4"/>
  <c r="V91" i="4"/>
  <c r="O29" i="3"/>
  <c r="V112" i="4"/>
  <c r="V27" i="4"/>
  <c r="V84" i="4"/>
  <c r="V3" i="4"/>
  <c r="V46" i="4"/>
  <c r="V34" i="4"/>
  <c r="O87" i="3"/>
  <c r="V140" i="4"/>
  <c r="V129" i="4"/>
  <c r="O72" i="3"/>
  <c r="O74" i="3"/>
  <c r="V59" i="4"/>
  <c r="O21" i="3"/>
  <c r="V31" i="4"/>
  <c r="V57" i="4"/>
  <c r="O99" i="3"/>
  <c r="O54" i="3"/>
  <c r="O24" i="3"/>
  <c r="V170" i="4"/>
  <c r="V116" i="4"/>
  <c r="V48" i="4"/>
  <c r="V63" i="4"/>
  <c r="V40" i="4"/>
  <c r="V118" i="4"/>
  <c r="O81" i="3"/>
  <c r="O80" i="3"/>
  <c r="V20" i="4"/>
  <c r="O96" i="3"/>
  <c r="O48" i="3"/>
  <c r="V172" i="4"/>
  <c r="O89" i="3"/>
  <c r="V25" i="4"/>
  <c r="O58" i="3"/>
  <c r="V78" i="4"/>
  <c r="V134" i="4"/>
  <c r="V52" i="4"/>
  <c r="V44" i="4"/>
  <c r="V123" i="4"/>
  <c r="O86" i="3"/>
  <c r="V102" i="4"/>
  <c r="V178" i="4"/>
  <c r="V11" i="4"/>
  <c r="V17" i="4"/>
  <c r="V88" i="4"/>
  <c r="V153" i="4"/>
  <c r="V53" i="4"/>
  <c r="O37" i="3"/>
  <c r="V13" i="4"/>
  <c r="V64" i="4"/>
  <c r="O44" i="3"/>
  <c r="O16" i="3"/>
  <c r="V45" i="4"/>
  <c r="V166" i="4"/>
  <c r="V107" i="4"/>
  <c r="V144" i="4"/>
  <c r="O41" i="3"/>
  <c r="O94" i="3"/>
  <c r="O56" i="3"/>
  <c r="V69" i="4"/>
  <c r="V71" i="4"/>
  <c r="V49" i="4"/>
  <c r="V145" i="4"/>
  <c r="V68" i="4"/>
  <c r="O39" i="3"/>
  <c r="V42" i="4"/>
  <c r="O35" i="3"/>
  <c r="V158" i="4"/>
  <c r="V105" i="4"/>
  <c r="V177" i="4"/>
  <c r="O13" i="3"/>
  <c r="V160" i="4"/>
  <c r="O50" i="3"/>
  <c r="V47" i="4"/>
  <c r="O95" i="3"/>
  <c r="O64" i="3"/>
  <c r="O32" i="3"/>
  <c r="V126" i="4"/>
  <c r="V70" i="4"/>
  <c r="O52" i="3"/>
  <c r="O63" i="3"/>
  <c r="V119" i="4"/>
  <c r="V43" i="4"/>
  <c r="V75" i="4"/>
  <c r="V128" i="4"/>
  <c r="V67" i="4"/>
  <c r="V146" i="4"/>
  <c r="V110" i="4"/>
  <c r="O23" i="3"/>
  <c r="O79" i="3"/>
  <c r="V89" i="4"/>
  <c r="V148" i="4"/>
  <c r="V28" i="4"/>
  <c r="V143" i="4"/>
  <c r="V80" i="4"/>
  <c r="O45" i="3"/>
  <c r="V174" i="4"/>
  <c r="O69" i="3"/>
  <c r="V98" i="4"/>
  <c r="V125" i="4"/>
  <c r="V35" i="4"/>
  <c r="O33" i="3"/>
  <c r="V138" i="4"/>
  <c r="O28" i="3"/>
  <c r="V76" i="4"/>
  <c r="A60" i="3"/>
  <c r="E24" i="3"/>
  <c r="T30" i="4" l="1"/>
  <c r="U30" i="4" s="1"/>
  <c r="R30" i="4"/>
  <c r="S30" i="4"/>
  <c r="W30" i="4"/>
  <c r="R18" i="4"/>
  <c r="W18" i="4"/>
  <c r="S18" i="4"/>
  <c r="T18" i="4"/>
  <c r="U18" i="4" s="1"/>
  <c r="S180" i="4"/>
  <c r="T180" i="4"/>
  <c r="U180" i="4" s="1"/>
  <c r="W180" i="4"/>
  <c r="R180" i="4"/>
  <c r="R8" i="4"/>
  <c r="W8" i="4"/>
  <c r="S8" i="4"/>
  <c r="T8" i="4"/>
  <c r="U8" i="4" s="1"/>
  <c r="W102" i="4"/>
  <c r="T102" i="4"/>
  <c r="U102" i="4" s="1"/>
  <c r="R102" i="4"/>
  <c r="S102" i="4"/>
  <c r="R84" i="4"/>
  <c r="W84" i="4"/>
  <c r="S84" i="4"/>
  <c r="T84" i="4"/>
  <c r="U84" i="4" s="1"/>
  <c r="R107" i="4"/>
  <c r="S107" i="4"/>
  <c r="T107" i="4"/>
  <c r="U107" i="4" s="1"/>
  <c r="W107" i="4"/>
  <c r="S104" i="4"/>
  <c r="T104" i="4"/>
  <c r="U104" i="4" s="1"/>
  <c r="R104" i="4"/>
  <c r="W104" i="4"/>
  <c r="T39" i="4"/>
  <c r="U39" i="4" s="1"/>
  <c r="W39" i="4"/>
  <c r="R39" i="4"/>
  <c r="S39" i="4"/>
  <c r="R132" i="4"/>
  <c r="S132" i="4"/>
  <c r="T132" i="4"/>
  <c r="U132" i="4" s="1"/>
  <c r="W132" i="4"/>
  <c r="T160" i="4"/>
  <c r="U160" i="4" s="1"/>
  <c r="S160" i="4"/>
  <c r="R160" i="4"/>
  <c r="W160" i="4"/>
  <c r="W94" i="4"/>
  <c r="R94" i="4"/>
  <c r="S94" i="4"/>
  <c r="T94" i="4"/>
  <c r="U94" i="4" s="1"/>
  <c r="T126" i="4"/>
  <c r="U126" i="4" s="1"/>
  <c r="R126" i="4"/>
  <c r="S126" i="4"/>
  <c r="W126" i="4"/>
  <c r="T37" i="4"/>
  <c r="U37" i="4" s="1"/>
  <c r="W37" i="4"/>
  <c r="R37" i="4"/>
  <c r="S37" i="4"/>
  <c r="S44" i="4"/>
  <c r="W44" i="4"/>
  <c r="R44" i="4"/>
  <c r="T44" i="4"/>
  <c r="U44" i="4" s="1"/>
  <c r="R124" i="4"/>
  <c r="S124" i="4"/>
  <c r="T124" i="4"/>
  <c r="U124" i="4" s="1"/>
  <c r="W124" i="4"/>
  <c r="S181" i="4"/>
  <c r="T181" i="4"/>
  <c r="U181" i="4" s="1"/>
  <c r="R181" i="4"/>
  <c r="W181" i="4"/>
  <c r="W119" i="4"/>
  <c r="T119" i="4"/>
  <c r="U119" i="4" s="1"/>
  <c r="R119" i="4"/>
  <c r="S119" i="4"/>
  <c r="R75" i="4"/>
  <c r="W75" i="4"/>
  <c r="T75" i="4"/>
  <c r="U75" i="4" s="1"/>
  <c r="S75" i="4"/>
  <c r="S21" i="4"/>
  <c r="W21" i="4"/>
  <c r="T21" i="4"/>
  <c r="U21" i="4" s="1"/>
  <c r="R21" i="4"/>
  <c r="T33" i="4"/>
  <c r="U33" i="4" s="1"/>
  <c r="R33" i="4"/>
  <c r="S33" i="4"/>
  <c r="W33" i="4"/>
  <c r="S70" i="4"/>
  <c r="W70" i="4"/>
  <c r="R70" i="4"/>
  <c r="T70" i="4"/>
  <c r="U70" i="4" s="1"/>
  <c r="S133" i="4"/>
  <c r="W133" i="4"/>
  <c r="T133" i="4"/>
  <c r="U133" i="4" s="1"/>
  <c r="R133" i="4"/>
  <c r="T43" i="4"/>
  <c r="U43" i="4" s="1"/>
  <c r="R43" i="4"/>
  <c r="W43" i="4"/>
  <c r="S43" i="4"/>
  <c r="T50" i="4"/>
  <c r="U50" i="4" s="1"/>
  <c r="R50" i="4"/>
  <c r="S50" i="4"/>
  <c r="W50" i="4"/>
  <c r="T161" i="4"/>
  <c r="U161" i="4" s="1"/>
  <c r="R161" i="4"/>
  <c r="W161" i="4"/>
  <c r="S161" i="4"/>
  <c r="S172" i="4"/>
  <c r="T172" i="4"/>
  <c r="U172" i="4" s="1"/>
  <c r="R172" i="4"/>
  <c r="W172" i="4"/>
  <c r="T167" i="4"/>
  <c r="U167" i="4" s="1"/>
  <c r="W167" i="4"/>
  <c r="R167" i="4"/>
  <c r="S167" i="4"/>
  <c r="R36" i="4"/>
  <c r="T36" i="4"/>
  <c r="U36" i="4" s="1"/>
  <c r="S36" i="4"/>
  <c r="W36" i="4"/>
  <c r="W11" i="4"/>
  <c r="T11" i="4"/>
  <c r="U11" i="4" s="1"/>
  <c r="S11" i="4"/>
  <c r="R11" i="4"/>
  <c r="W83" i="4"/>
  <c r="R83" i="4"/>
  <c r="S83" i="4"/>
  <c r="T83" i="4"/>
  <c r="U83" i="4" s="1"/>
  <c r="W24" i="4"/>
  <c r="S24" i="4"/>
  <c r="T24" i="4"/>
  <c r="U24" i="4" s="1"/>
  <c r="R24" i="4"/>
  <c r="R17" i="4"/>
  <c r="S17" i="4"/>
  <c r="T17" i="4"/>
  <c r="U17" i="4" s="1"/>
  <c r="W17" i="4"/>
  <c r="T99" i="4"/>
  <c r="U99" i="4" s="1"/>
  <c r="W99" i="4"/>
  <c r="R99" i="4"/>
  <c r="S99" i="4"/>
  <c r="W4" i="4"/>
  <c r="S4" i="4"/>
  <c r="T4" i="4"/>
  <c r="U4" i="4" s="1"/>
  <c r="R4" i="4"/>
  <c r="R96" i="4"/>
  <c r="W96" i="4"/>
  <c r="S96" i="4"/>
  <c r="T96" i="4"/>
  <c r="U96" i="4" s="1"/>
  <c r="R154" i="4"/>
  <c r="S154" i="4"/>
  <c r="T154" i="4"/>
  <c r="U154" i="4" s="1"/>
  <c r="W154" i="4"/>
  <c r="S45" i="4"/>
  <c r="T45" i="4"/>
  <c r="U45" i="4" s="1"/>
  <c r="R45" i="4"/>
  <c r="W45" i="4"/>
  <c r="R103" i="4"/>
  <c r="S103" i="4"/>
  <c r="W103" i="4"/>
  <c r="T103" i="4"/>
  <c r="U103" i="4" s="1"/>
  <c r="S145" i="4"/>
  <c r="T145" i="4"/>
  <c r="U145" i="4" s="1"/>
  <c r="W145" i="4"/>
  <c r="R145" i="4"/>
  <c r="S108" i="4"/>
  <c r="W108" i="4"/>
  <c r="T108" i="4"/>
  <c r="U108" i="4" s="1"/>
  <c r="R108" i="4"/>
  <c r="T109" i="4"/>
  <c r="U109" i="4" s="1"/>
  <c r="R109" i="4"/>
  <c r="S109" i="4"/>
  <c r="W109" i="4"/>
  <c r="T38" i="4"/>
  <c r="U38" i="4" s="1"/>
  <c r="R38" i="4"/>
  <c r="S38" i="4"/>
  <c r="W38" i="4"/>
  <c r="T100" i="4"/>
  <c r="U100" i="4" s="1"/>
  <c r="W100" i="4"/>
  <c r="R100" i="4"/>
  <c r="S100" i="4"/>
  <c r="R63" i="4"/>
  <c r="S63" i="4"/>
  <c r="W63" i="4"/>
  <c r="T63" i="4"/>
  <c r="U63" i="4" s="1"/>
  <c r="S12" i="4"/>
  <c r="T12" i="4"/>
  <c r="U12" i="4" s="1"/>
  <c r="R12" i="4"/>
  <c r="W12" i="4"/>
  <c r="R31" i="4"/>
  <c r="S31" i="4"/>
  <c r="T31" i="4"/>
  <c r="U31" i="4" s="1"/>
  <c r="W31" i="4"/>
  <c r="R67" i="4"/>
  <c r="S67" i="4"/>
  <c r="T67" i="4"/>
  <c r="U67" i="4" s="1"/>
  <c r="W67" i="4"/>
  <c r="R173" i="4"/>
  <c r="W173" i="4"/>
  <c r="S173" i="4"/>
  <c r="T173" i="4"/>
  <c r="U173" i="4" s="1"/>
  <c r="T28" i="4"/>
  <c r="U28" i="4" s="1"/>
  <c r="W28" i="4"/>
  <c r="R28" i="4"/>
  <c r="S28" i="4"/>
  <c r="R118" i="4"/>
  <c r="S118" i="4"/>
  <c r="W118" i="4"/>
  <c r="T118" i="4"/>
  <c r="U118" i="4" s="1"/>
  <c r="S148" i="4"/>
  <c r="T148" i="4"/>
  <c r="U148" i="4" s="1"/>
  <c r="R148" i="4"/>
  <c r="W148" i="4"/>
  <c r="T163" i="4"/>
  <c r="U163" i="4" s="1"/>
  <c r="W163" i="4"/>
  <c r="R163" i="4"/>
  <c r="S163" i="4"/>
  <c r="R162" i="4"/>
  <c r="S162" i="4"/>
  <c r="T162" i="4"/>
  <c r="U162" i="4" s="1"/>
  <c r="W162" i="4"/>
  <c r="S91" i="4"/>
  <c r="T91" i="4"/>
  <c r="U91" i="4" s="1"/>
  <c r="R91" i="4"/>
  <c r="W91" i="4"/>
  <c r="T101" i="4"/>
  <c r="U101" i="4" s="1"/>
  <c r="R101" i="4"/>
  <c r="S101" i="4"/>
  <c r="W101" i="4"/>
  <c r="S54" i="4"/>
  <c r="T54" i="4"/>
  <c r="U54" i="4" s="1"/>
  <c r="W54" i="4"/>
  <c r="R54" i="4"/>
  <c r="T129" i="4"/>
  <c r="U129" i="4" s="1"/>
  <c r="R129" i="4"/>
  <c r="S129" i="4"/>
  <c r="W129" i="4"/>
  <c r="S5" i="4"/>
  <c r="T5" i="4"/>
  <c r="U5" i="4" s="1"/>
  <c r="R5" i="4"/>
  <c r="W5" i="4"/>
  <c r="R25" i="4"/>
  <c r="S25" i="4"/>
  <c r="W25" i="4"/>
  <c r="T25" i="4"/>
  <c r="U25" i="4" s="1"/>
  <c r="R178" i="4"/>
  <c r="S178" i="4"/>
  <c r="T178" i="4"/>
  <c r="U178" i="4" s="1"/>
  <c r="W178" i="4"/>
  <c r="R81" i="4"/>
  <c r="S81" i="4"/>
  <c r="W81" i="4"/>
  <c r="T81" i="4"/>
  <c r="U81" i="4" s="1"/>
  <c r="R176" i="4"/>
  <c r="W176" i="4"/>
  <c r="S176" i="4"/>
  <c r="T176" i="4"/>
  <c r="U176" i="4" s="1"/>
  <c r="R157" i="4"/>
  <c r="W157" i="4"/>
  <c r="S157" i="4"/>
  <c r="T157" i="4"/>
  <c r="U157" i="4" s="1"/>
  <c r="T166" i="4"/>
  <c r="U166" i="4" s="1"/>
  <c r="W166" i="4"/>
  <c r="R166" i="4"/>
  <c r="S166" i="4"/>
  <c r="W40" i="4"/>
  <c r="S40" i="4"/>
  <c r="T40" i="4"/>
  <c r="U40" i="4" s="1"/>
  <c r="R40" i="4"/>
  <c r="T143" i="4"/>
  <c r="U143" i="4" s="1"/>
  <c r="W143" i="4"/>
  <c r="R143" i="4"/>
  <c r="S143" i="4"/>
  <c r="T139" i="4"/>
  <c r="U139" i="4" s="1"/>
  <c r="R139" i="4"/>
  <c r="W139" i="4"/>
  <c r="S139" i="4"/>
  <c r="S49" i="4"/>
  <c r="W49" i="4"/>
  <c r="T49" i="4"/>
  <c r="U49" i="4" s="1"/>
  <c r="R49" i="4"/>
  <c r="R141" i="4"/>
  <c r="S141" i="4"/>
  <c r="T141" i="4"/>
  <c r="U141" i="4" s="1"/>
  <c r="W141" i="4"/>
  <c r="T35" i="4"/>
  <c r="U35" i="4" s="1"/>
  <c r="R35" i="4"/>
  <c r="S35" i="4"/>
  <c r="W35" i="4"/>
  <c r="T55" i="4"/>
  <c r="U55" i="4" s="1"/>
  <c r="W55" i="4"/>
  <c r="R55" i="4"/>
  <c r="S55" i="4"/>
  <c r="T89" i="4"/>
  <c r="U89" i="4" s="1"/>
  <c r="R89" i="4"/>
  <c r="S89" i="4"/>
  <c r="W89" i="4"/>
  <c r="S113" i="4"/>
  <c r="W113" i="4"/>
  <c r="T113" i="4"/>
  <c r="U113" i="4" s="1"/>
  <c r="R113" i="4"/>
  <c r="R14" i="4"/>
  <c r="W14" i="4"/>
  <c r="S14" i="4"/>
  <c r="T14" i="4"/>
  <c r="U14" i="4" s="1"/>
  <c r="S10" i="4"/>
  <c r="T10" i="4"/>
  <c r="U10" i="4" s="1"/>
  <c r="W10" i="4"/>
  <c r="R10" i="4"/>
  <c r="R175" i="4"/>
  <c r="S175" i="4"/>
  <c r="W175" i="4"/>
  <c r="T175" i="4"/>
  <c r="U175" i="4" s="1"/>
  <c r="R116" i="4"/>
  <c r="S116" i="4"/>
  <c r="T116" i="4"/>
  <c r="U116" i="4" s="1"/>
  <c r="W116" i="4"/>
  <c r="T59" i="4"/>
  <c r="U59" i="4" s="1"/>
  <c r="R59" i="4"/>
  <c r="S59" i="4"/>
  <c r="W59" i="4"/>
  <c r="R146" i="4"/>
  <c r="S146" i="4"/>
  <c r="W146" i="4"/>
  <c r="T146" i="4"/>
  <c r="U146" i="4" s="1"/>
  <c r="S51" i="4"/>
  <c r="T51" i="4"/>
  <c r="U51" i="4" s="1"/>
  <c r="W51" i="4"/>
  <c r="R51" i="4"/>
  <c r="R88" i="4"/>
  <c r="S88" i="4"/>
  <c r="W88" i="4"/>
  <c r="T88" i="4"/>
  <c r="U88" i="4" s="1"/>
  <c r="R77" i="4"/>
  <c r="S77" i="4"/>
  <c r="T77" i="4"/>
  <c r="U77" i="4" s="1"/>
  <c r="W77" i="4"/>
  <c r="T136" i="4"/>
  <c r="U136" i="4" s="1"/>
  <c r="R136" i="4"/>
  <c r="W136" i="4"/>
  <c r="S136" i="4"/>
  <c r="W127" i="4"/>
  <c r="R127" i="4"/>
  <c r="S127" i="4"/>
  <c r="T127" i="4"/>
  <c r="U127" i="4" s="1"/>
  <c r="S26" i="4"/>
  <c r="T26" i="4"/>
  <c r="U26" i="4" s="1"/>
  <c r="R26" i="4"/>
  <c r="W26" i="4"/>
  <c r="W42" i="4"/>
  <c r="R42" i="4"/>
  <c r="S42" i="4"/>
  <c r="T42" i="4"/>
  <c r="U42" i="4" s="1"/>
  <c r="S82" i="4"/>
  <c r="T82" i="4"/>
  <c r="U82" i="4" s="1"/>
  <c r="W82" i="4"/>
  <c r="R82" i="4"/>
  <c r="R112" i="4"/>
  <c r="W112" i="4"/>
  <c r="S112" i="4"/>
  <c r="T112" i="4"/>
  <c r="U112" i="4" s="1"/>
  <c r="R122" i="4"/>
  <c r="S122" i="4"/>
  <c r="T122" i="4"/>
  <c r="U122" i="4" s="1"/>
  <c r="W122" i="4"/>
  <c r="T62" i="4"/>
  <c r="U62" i="4" s="1"/>
  <c r="W62" i="4"/>
  <c r="R62" i="4"/>
  <c r="S62" i="4"/>
  <c r="R111" i="4"/>
  <c r="W111" i="4"/>
  <c r="S111" i="4"/>
  <c r="T111" i="4"/>
  <c r="U111" i="4" s="1"/>
  <c r="T60" i="4"/>
  <c r="U60" i="4" s="1"/>
  <c r="R60" i="4"/>
  <c r="W60" i="4"/>
  <c r="S60" i="4"/>
  <c r="S147" i="4"/>
  <c r="W147" i="4"/>
  <c r="T147" i="4"/>
  <c r="U147" i="4" s="1"/>
  <c r="R147" i="4"/>
  <c r="R125" i="4"/>
  <c r="S125" i="4"/>
  <c r="W125" i="4"/>
  <c r="T125" i="4"/>
  <c r="U125" i="4" s="1"/>
  <c r="S120" i="4"/>
  <c r="T120" i="4"/>
  <c r="U120" i="4" s="1"/>
  <c r="R120" i="4"/>
  <c r="W120" i="4"/>
  <c r="S110" i="4"/>
  <c r="T110" i="4"/>
  <c r="U110" i="4" s="1"/>
  <c r="W110" i="4"/>
  <c r="R110" i="4"/>
  <c r="T57" i="4"/>
  <c r="U57" i="4" s="1"/>
  <c r="R57" i="4"/>
  <c r="S57" i="4"/>
  <c r="W57" i="4"/>
  <c r="T159" i="4"/>
  <c r="U159" i="4" s="1"/>
  <c r="W159" i="4"/>
  <c r="R159" i="4"/>
  <c r="S159" i="4"/>
  <c r="R1" i="4"/>
  <c r="W1" i="4"/>
  <c r="T1" i="4"/>
  <c r="U1" i="4" s="1"/>
  <c r="S1" i="4"/>
  <c r="R6" i="4"/>
  <c r="W6" i="4"/>
  <c r="S6" i="4"/>
  <c r="T6" i="4"/>
  <c r="U6" i="4" s="1"/>
  <c r="R105" i="4"/>
  <c r="S105" i="4"/>
  <c r="W105" i="4"/>
  <c r="T105" i="4"/>
  <c r="U105" i="4" s="1"/>
  <c r="R46" i="4"/>
  <c r="S46" i="4"/>
  <c r="W46" i="4"/>
  <c r="T46" i="4"/>
  <c r="U46" i="4" s="1"/>
  <c r="T149" i="4"/>
  <c r="U149" i="4" s="1"/>
  <c r="W149" i="4"/>
  <c r="R149" i="4"/>
  <c r="S149" i="4"/>
  <c r="S170" i="4"/>
  <c r="T170" i="4"/>
  <c r="U170" i="4" s="1"/>
  <c r="W170" i="4"/>
  <c r="R170" i="4"/>
  <c r="S29" i="4"/>
  <c r="W29" i="4"/>
  <c r="T29" i="4"/>
  <c r="U29" i="4" s="1"/>
  <c r="R29" i="4"/>
  <c r="R155" i="4"/>
  <c r="S155" i="4"/>
  <c r="T155" i="4"/>
  <c r="U155" i="4" s="1"/>
  <c r="W155" i="4"/>
  <c r="S74" i="4"/>
  <c r="W74" i="4"/>
  <c r="T74" i="4"/>
  <c r="U74" i="4" s="1"/>
  <c r="R74" i="4"/>
  <c r="T179" i="4"/>
  <c r="U179" i="4" s="1"/>
  <c r="R179" i="4"/>
  <c r="S179" i="4"/>
  <c r="W179" i="4"/>
  <c r="S16" i="4"/>
  <c r="T16" i="4"/>
  <c r="U16" i="4" s="1"/>
  <c r="R16" i="4"/>
  <c r="W16" i="4"/>
  <c r="R134" i="4"/>
  <c r="S134" i="4"/>
  <c r="T134" i="4"/>
  <c r="U134" i="4" s="1"/>
  <c r="W134" i="4"/>
  <c r="W90" i="4"/>
  <c r="R90" i="4"/>
  <c r="S90" i="4"/>
  <c r="T90" i="4"/>
  <c r="U90" i="4" s="1"/>
  <c r="T19" i="4"/>
  <c r="U19" i="4" s="1"/>
  <c r="R19" i="4"/>
  <c r="S19" i="4"/>
  <c r="W19" i="4"/>
  <c r="S135" i="4"/>
  <c r="T135" i="4"/>
  <c r="U135" i="4" s="1"/>
  <c r="W135" i="4"/>
  <c r="R135" i="4"/>
  <c r="R64" i="4"/>
  <c r="S64" i="4"/>
  <c r="T64" i="4"/>
  <c r="U64" i="4" s="1"/>
  <c r="W64" i="4"/>
  <c r="S142" i="4"/>
  <c r="T142" i="4"/>
  <c r="U142" i="4" s="1"/>
  <c r="W142" i="4"/>
  <c r="R142" i="4"/>
  <c r="S56" i="4"/>
  <c r="T56" i="4"/>
  <c r="U56" i="4" s="1"/>
  <c r="R56" i="4"/>
  <c r="W56" i="4"/>
  <c r="R47" i="4"/>
  <c r="S47" i="4"/>
  <c r="W47" i="4"/>
  <c r="T47" i="4"/>
  <c r="U47" i="4" s="1"/>
  <c r="S151" i="4"/>
  <c r="T151" i="4"/>
  <c r="U151" i="4" s="1"/>
  <c r="W151" i="4"/>
  <c r="R151" i="4"/>
  <c r="S171" i="4"/>
  <c r="T171" i="4"/>
  <c r="U171" i="4" s="1"/>
  <c r="R171" i="4"/>
  <c r="W171" i="4"/>
  <c r="T13" i="4"/>
  <c r="U13" i="4" s="1"/>
  <c r="R13" i="4"/>
  <c r="S13" i="4"/>
  <c r="W13" i="4"/>
  <c r="R130" i="4"/>
  <c r="W130" i="4"/>
  <c r="S130" i="4"/>
  <c r="T130" i="4"/>
  <c r="U130" i="4" s="1"/>
  <c r="S79" i="4"/>
  <c r="T79" i="4"/>
  <c r="U79" i="4" s="1"/>
  <c r="W79" i="4"/>
  <c r="R79" i="4"/>
  <c r="T177" i="4"/>
  <c r="U177" i="4" s="1"/>
  <c r="W177" i="4"/>
  <c r="R177" i="4"/>
  <c r="S177" i="4"/>
  <c r="S68" i="4"/>
  <c r="T68" i="4"/>
  <c r="U68" i="4" s="1"/>
  <c r="R68" i="4"/>
  <c r="W68" i="4"/>
  <c r="T140" i="4"/>
  <c r="U140" i="4" s="1"/>
  <c r="R140" i="4"/>
  <c r="W140" i="4"/>
  <c r="S140" i="4"/>
  <c r="T87" i="4"/>
  <c r="U87" i="4" s="1"/>
  <c r="W87" i="4"/>
  <c r="R87" i="4"/>
  <c r="S87" i="4"/>
  <c r="S69" i="4"/>
  <c r="W69" i="4"/>
  <c r="T69" i="4"/>
  <c r="U69" i="4" s="1"/>
  <c r="R69" i="4"/>
  <c r="S61" i="4"/>
  <c r="T61" i="4"/>
  <c r="U61" i="4" s="1"/>
  <c r="W61" i="4"/>
  <c r="R61" i="4"/>
  <c r="T32" i="4"/>
  <c r="U32" i="4" s="1"/>
  <c r="W32" i="4"/>
  <c r="R32" i="4"/>
  <c r="S32" i="4"/>
  <c r="T22" i="4"/>
  <c r="U22" i="4" s="1"/>
  <c r="W22" i="4"/>
  <c r="R22" i="4"/>
  <c r="S22" i="4"/>
  <c r="T117" i="4"/>
  <c r="U117" i="4" s="1"/>
  <c r="R117" i="4"/>
  <c r="S117" i="4"/>
  <c r="W117" i="4"/>
  <c r="T137" i="4"/>
  <c r="U137" i="4" s="1"/>
  <c r="R137" i="4"/>
  <c r="W137" i="4"/>
  <c r="S137" i="4"/>
  <c r="W15" i="4"/>
  <c r="R15" i="4"/>
  <c r="S15" i="4"/>
  <c r="T15" i="4"/>
  <c r="U15" i="4" s="1"/>
  <c r="R138" i="4"/>
  <c r="S138" i="4"/>
  <c r="T138" i="4"/>
  <c r="U138" i="4" s="1"/>
  <c r="W138" i="4"/>
  <c r="R114" i="4"/>
  <c r="S114" i="4"/>
  <c r="T114" i="4"/>
  <c r="U114" i="4" s="1"/>
  <c r="W114" i="4"/>
  <c r="S97" i="4"/>
  <c r="W97" i="4"/>
  <c r="T97" i="4"/>
  <c r="U97" i="4" s="1"/>
  <c r="R97" i="4"/>
  <c r="R168" i="4"/>
  <c r="W168" i="4"/>
  <c r="S168" i="4"/>
  <c r="T168" i="4"/>
  <c r="U168" i="4" s="1"/>
  <c r="S72" i="4"/>
  <c r="T72" i="4"/>
  <c r="U72" i="4" s="1"/>
  <c r="W72" i="4"/>
  <c r="R72" i="4"/>
  <c r="W106" i="4"/>
  <c r="R106" i="4"/>
  <c r="S106" i="4"/>
  <c r="T106" i="4"/>
  <c r="U106" i="4" s="1"/>
  <c r="S174" i="4"/>
  <c r="T174" i="4"/>
  <c r="U174" i="4" s="1"/>
  <c r="W174" i="4"/>
  <c r="R174" i="4"/>
  <c r="S58" i="4"/>
  <c r="T58" i="4"/>
  <c r="U58" i="4" s="1"/>
  <c r="W58" i="4"/>
  <c r="R58" i="4"/>
  <c r="T85" i="4"/>
  <c r="U85" i="4" s="1"/>
  <c r="R85" i="4"/>
  <c r="W85" i="4"/>
  <c r="S85" i="4"/>
  <c r="T153" i="4"/>
  <c r="U153" i="4" s="1"/>
  <c r="R153" i="4"/>
  <c r="S153" i="4"/>
  <c r="W153" i="4"/>
  <c r="T2" i="4"/>
  <c r="U2" i="4" s="1"/>
  <c r="R2" i="4"/>
  <c r="W2" i="4"/>
  <c r="S2" i="4"/>
  <c r="S165" i="4"/>
  <c r="T165" i="4"/>
  <c r="U165" i="4" s="1"/>
  <c r="W165" i="4"/>
  <c r="R165" i="4"/>
  <c r="W7" i="4"/>
  <c r="S7" i="4"/>
  <c r="T7" i="4"/>
  <c r="U7" i="4" s="1"/>
  <c r="R7" i="4"/>
  <c r="T76" i="4"/>
  <c r="U76" i="4" s="1"/>
  <c r="R76" i="4"/>
  <c r="W76" i="4"/>
  <c r="S76" i="4"/>
  <c r="S53" i="4"/>
  <c r="W53" i="4"/>
  <c r="T53" i="4"/>
  <c r="U53" i="4" s="1"/>
  <c r="R53" i="4"/>
  <c r="T128" i="4"/>
  <c r="U128" i="4" s="1"/>
  <c r="R128" i="4"/>
  <c r="S128" i="4"/>
  <c r="W128" i="4"/>
  <c r="T86" i="4"/>
  <c r="U86" i="4" s="1"/>
  <c r="R86" i="4"/>
  <c r="S86" i="4"/>
  <c r="W86" i="4"/>
  <c r="R156" i="4"/>
  <c r="S156" i="4"/>
  <c r="T156" i="4"/>
  <c r="U156" i="4" s="1"/>
  <c r="W156" i="4"/>
  <c r="R34" i="4"/>
  <c r="S34" i="4"/>
  <c r="W34" i="4"/>
  <c r="T34" i="4"/>
  <c r="U34" i="4" s="1"/>
  <c r="R95" i="4"/>
  <c r="S95" i="4"/>
  <c r="W95" i="4"/>
  <c r="T95" i="4"/>
  <c r="U95" i="4" s="1"/>
  <c r="R158" i="4"/>
  <c r="S158" i="4"/>
  <c r="W158" i="4"/>
  <c r="T158" i="4"/>
  <c r="U158" i="4" s="1"/>
  <c r="S71" i="4"/>
  <c r="W71" i="4"/>
  <c r="T71" i="4"/>
  <c r="U71" i="4" s="1"/>
  <c r="R71" i="4"/>
  <c r="S9" i="4"/>
  <c r="T9" i="4"/>
  <c r="U9" i="4" s="1"/>
  <c r="W9" i="4"/>
  <c r="R9" i="4"/>
  <c r="T150" i="4"/>
  <c r="U150" i="4" s="1"/>
  <c r="R150" i="4"/>
  <c r="S150" i="4"/>
  <c r="W150" i="4"/>
  <c r="S65" i="4"/>
  <c r="T65" i="4"/>
  <c r="U65" i="4" s="1"/>
  <c r="R65" i="4"/>
  <c r="W65" i="4"/>
  <c r="R66" i="4"/>
  <c r="S66" i="4"/>
  <c r="W66" i="4"/>
  <c r="T66" i="4"/>
  <c r="U66" i="4" s="1"/>
  <c r="T41" i="4"/>
  <c r="U41" i="4" s="1"/>
  <c r="R41" i="4"/>
  <c r="W41" i="4"/>
  <c r="S41" i="4"/>
  <c r="S164" i="4"/>
  <c r="T164" i="4"/>
  <c r="U164" i="4" s="1"/>
  <c r="W164" i="4"/>
  <c r="R164" i="4"/>
  <c r="S123" i="4"/>
  <c r="W123" i="4"/>
  <c r="T123" i="4"/>
  <c r="U123" i="4" s="1"/>
  <c r="R123" i="4"/>
  <c r="T131" i="4"/>
  <c r="U131" i="4" s="1"/>
  <c r="R131" i="4"/>
  <c r="W131" i="4"/>
  <c r="S131" i="4"/>
  <c r="R48" i="4"/>
  <c r="S48" i="4"/>
  <c r="T48" i="4"/>
  <c r="U48" i="4" s="1"/>
  <c r="W48" i="4"/>
  <c r="S93" i="4"/>
  <c r="T93" i="4"/>
  <c r="U93" i="4" s="1"/>
  <c r="R93" i="4"/>
  <c r="W93" i="4"/>
  <c r="R80" i="4"/>
  <c r="S80" i="4"/>
  <c r="T80" i="4"/>
  <c r="U80" i="4" s="1"/>
  <c r="W80" i="4"/>
  <c r="T73" i="4"/>
  <c r="U73" i="4" s="1"/>
  <c r="R73" i="4"/>
  <c r="W73" i="4"/>
  <c r="S73" i="4"/>
  <c r="R115" i="4"/>
  <c r="S115" i="4"/>
  <c r="W115" i="4"/>
  <c r="T115" i="4"/>
  <c r="U115" i="4" s="1"/>
  <c r="S152" i="4"/>
  <c r="T152" i="4"/>
  <c r="U152" i="4" s="1"/>
  <c r="W152" i="4"/>
  <c r="R152" i="4"/>
  <c r="T27" i="4"/>
  <c r="U27" i="4" s="1"/>
  <c r="R27" i="4"/>
  <c r="W27" i="4"/>
  <c r="S27" i="4"/>
  <c r="S20" i="4"/>
  <c r="T20" i="4"/>
  <c r="U20" i="4" s="1"/>
  <c r="W20" i="4"/>
  <c r="R20" i="4"/>
  <c r="T23" i="4"/>
  <c r="U23" i="4" s="1"/>
  <c r="R23" i="4"/>
  <c r="S23" i="4"/>
  <c r="W23" i="4"/>
  <c r="R92" i="4"/>
  <c r="S92" i="4"/>
  <c r="T92" i="4"/>
  <c r="U92" i="4" s="1"/>
  <c r="W92" i="4"/>
  <c r="R144" i="4"/>
  <c r="S144" i="4"/>
  <c r="T144" i="4"/>
  <c r="U144" i="4" s="1"/>
  <c r="W144" i="4"/>
  <c r="T169" i="4"/>
  <c r="U169" i="4" s="1"/>
  <c r="R169" i="4"/>
  <c r="W169" i="4"/>
  <c r="S169" i="4"/>
  <c r="S52" i="4"/>
  <c r="T52" i="4"/>
  <c r="U52" i="4" s="1"/>
  <c r="W52" i="4"/>
  <c r="R52" i="4"/>
  <c r="S3" i="4"/>
  <c r="W3" i="4"/>
  <c r="T3" i="4"/>
  <c r="U3" i="4" s="1"/>
  <c r="R3" i="4"/>
  <c r="T98" i="4"/>
  <c r="U98" i="4" s="1"/>
  <c r="R98" i="4"/>
  <c r="W98" i="4"/>
  <c r="S98" i="4"/>
  <c r="R78" i="4"/>
  <c r="S78" i="4"/>
  <c r="W78" i="4"/>
  <c r="T78" i="4"/>
  <c r="U78" i="4" s="1"/>
  <c r="Z13" i="3"/>
  <c r="Q19" i="3"/>
  <c r="T1" i="3"/>
  <c r="AC4" i="3"/>
  <c r="T17" i="3"/>
  <c r="Q29" i="3"/>
  <c r="T27" i="3"/>
  <c r="Z22" i="3"/>
  <c r="AC5" i="3"/>
  <c r="E94" i="3"/>
  <c r="A95" i="3"/>
  <c r="A34" i="3"/>
  <c r="A55" i="3"/>
  <c r="Z9" i="3"/>
  <c r="AC17" i="3"/>
  <c r="Q1" i="3"/>
  <c r="Q32" i="3"/>
  <c r="E82" i="3"/>
  <c r="T15" i="3"/>
  <c r="E41" i="3"/>
  <c r="Z20" i="3"/>
  <c r="T44" i="3"/>
  <c r="Z44" i="3"/>
  <c r="Z10" i="3"/>
  <c r="Z8" i="3"/>
  <c r="A43" i="3"/>
  <c r="E96" i="3"/>
  <c r="Z48" i="3"/>
  <c r="Q31" i="3"/>
  <c r="E98" i="3"/>
  <c r="AC16" i="3"/>
  <c r="Q10" i="3"/>
  <c r="Q63" i="3"/>
  <c r="A47" i="3"/>
  <c r="E70" i="3"/>
  <c r="AC34" i="3"/>
  <c r="Q9" i="3"/>
  <c r="Z27" i="3"/>
  <c r="Z29" i="3"/>
  <c r="AC23" i="3"/>
  <c r="AC13" i="3"/>
  <c r="Q26" i="3"/>
  <c r="A64" i="3"/>
  <c r="T10" i="3"/>
  <c r="Z40" i="3"/>
  <c r="A62" i="3"/>
  <c r="T3" i="3"/>
  <c r="A66" i="3"/>
  <c r="A42" i="3"/>
  <c r="Q13" i="3"/>
  <c r="A53" i="3"/>
  <c r="A70" i="3"/>
  <c r="Q46" i="3"/>
  <c r="Z11" i="3"/>
  <c r="T43" i="3"/>
  <c r="Z15" i="3"/>
  <c r="E87" i="3"/>
  <c r="Q36" i="3"/>
  <c r="AC52" i="3"/>
  <c r="Z23" i="3"/>
  <c r="Q11" i="3"/>
  <c r="E60" i="3"/>
  <c r="T49" i="3"/>
  <c r="T47" i="3"/>
  <c r="A57" i="3"/>
  <c r="AC18" i="3"/>
  <c r="Q57" i="3"/>
  <c r="Q58" i="3"/>
  <c r="E35" i="3"/>
  <c r="Q37" i="3"/>
  <c r="A74" i="3"/>
  <c r="E63" i="3"/>
  <c r="A49" i="3"/>
  <c r="AC45" i="3"/>
  <c r="T7" i="3"/>
  <c r="Z36" i="3"/>
  <c r="A59" i="3"/>
  <c r="T30" i="3"/>
  <c r="E85" i="3"/>
  <c r="Z16" i="3"/>
  <c r="T5" i="3"/>
  <c r="AC22" i="3"/>
  <c r="T26" i="3"/>
  <c r="A51" i="3"/>
  <c r="E66" i="3"/>
  <c r="A54" i="3"/>
  <c r="Q35" i="3"/>
  <c r="E44" i="3"/>
  <c r="E27" i="3"/>
  <c r="Z5" i="3"/>
  <c r="A58" i="3"/>
  <c r="Q65" i="3"/>
  <c r="Q28" i="3"/>
  <c r="E47" i="3"/>
  <c r="Z25" i="3"/>
  <c r="E32" i="3"/>
  <c r="AC49" i="3"/>
  <c r="Z33" i="3"/>
  <c r="Z6" i="3"/>
  <c r="T50" i="3"/>
  <c r="Q15" i="3"/>
  <c r="A48" i="3"/>
  <c r="Z14" i="3"/>
  <c r="E40" i="3"/>
  <c r="AC24" i="3"/>
  <c r="A39" i="3"/>
  <c r="Q25" i="3"/>
  <c r="AC48" i="3"/>
  <c r="AC31" i="3"/>
  <c r="Q22" i="3"/>
  <c r="E25" i="3"/>
  <c r="A91" i="3"/>
  <c r="Q38" i="3"/>
  <c r="A56" i="3"/>
  <c r="T23" i="3"/>
  <c r="AC2" i="3"/>
  <c r="AC10" i="3"/>
  <c r="T36" i="3"/>
  <c r="A81" i="3"/>
  <c r="A87" i="3"/>
  <c r="Q7" i="3"/>
  <c r="E55" i="3"/>
  <c r="E36" i="3"/>
  <c r="Q3" i="3"/>
  <c r="E45" i="3"/>
  <c r="E95" i="3"/>
  <c r="Z26" i="3"/>
  <c r="Q16" i="3"/>
  <c r="Z12" i="3"/>
  <c r="A98" i="3"/>
  <c r="T28" i="3"/>
  <c r="E90" i="3"/>
  <c r="A89" i="3"/>
  <c r="T46" i="3"/>
  <c r="A61" i="3"/>
  <c r="Q41" i="3"/>
  <c r="T34" i="3"/>
  <c r="A73" i="3"/>
  <c r="E79" i="3"/>
  <c r="AC41" i="3"/>
  <c r="AC35" i="3"/>
  <c r="Z41" i="3"/>
  <c r="Q43" i="3"/>
  <c r="T51" i="3"/>
  <c r="AC42" i="3"/>
  <c r="Q23" i="3"/>
  <c r="T21" i="3"/>
  <c r="Q45" i="3"/>
  <c r="E62" i="3"/>
  <c r="Z43" i="3"/>
  <c r="E93" i="3"/>
  <c r="E37" i="3"/>
  <c r="E89" i="3"/>
  <c r="Q47" i="3"/>
  <c r="E46" i="3"/>
  <c r="AC38" i="3"/>
  <c r="E42" i="3"/>
  <c r="Z50" i="3"/>
  <c r="E65" i="3"/>
  <c r="AC19" i="3"/>
  <c r="AC20" i="3"/>
  <c r="Q55" i="3"/>
  <c r="T37" i="3"/>
  <c r="A84" i="3"/>
  <c r="Q14" i="3"/>
  <c r="Q8" i="3"/>
  <c r="AC44" i="3"/>
  <c r="E68" i="3"/>
  <c r="E83" i="3"/>
  <c r="A77" i="3"/>
  <c r="Q39" i="3"/>
  <c r="AC29" i="3"/>
  <c r="E29" i="3"/>
  <c r="Z3" i="3"/>
  <c r="E78" i="3"/>
  <c r="Q64" i="3"/>
  <c r="T38" i="3"/>
  <c r="T40" i="3"/>
  <c r="Q6" i="3"/>
  <c r="A90" i="3"/>
  <c r="Z17" i="3"/>
  <c r="AC26" i="3"/>
  <c r="E49" i="3"/>
  <c r="Z37" i="3"/>
  <c r="E81" i="3"/>
  <c r="T22" i="3"/>
  <c r="Q18" i="3"/>
  <c r="Z49" i="3"/>
  <c r="Q30" i="3"/>
  <c r="E33" i="3"/>
  <c r="Q62" i="3"/>
  <c r="A38" i="3"/>
  <c r="E48" i="3"/>
  <c r="E30" i="3"/>
  <c r="E92" i="3"/>
  <c r="E53" i="3"/>
  <c r="Z39" i="3"/>
  <c r="T16" i="3"/>
  <c r="E67" i="3"/>
  <c r="Q20" i="3"/>
  <c r="E20" i="3"/>
  <c r="A36" i="3"/>
  <c r="E64" i="3"/>
  <c r="E80" i="3"/>
  <c r="A83" i="3"/>
  <c r="Z32" i="3"/>
  <c r="E84" i="3"/>
  <c r="E22" i="3"/>
  <c r="T41" i="3"/>
  <c r="A94" i="3"/>
  <c r="E74" i="3"/>
  <c r="E71" i="3"/>
  <c r="E38" i="3"/>
  <c r="E77" i="3"/>
  <c r="Z31" i="3"/>
  <c r="E73" i="3"/>
  <c r="Q61" i="3"/>
  <c r="E23" i="3"/>
  <c r="Q21" i="3"/>
  <c r="E97" i="3"/>
  <c r="A99" i="3"/>
  <c r="E28" i="3"/>
  <c r="Z34" i="3"/>
  <c r="E61" i="3"/>
  <c r="A67" i="3"/>
  <c r="E54" i="3"/>
  <c r="A37" i="3"/>
  <c r="E99" i="3"/>
  <c r="E59" i="3"/>
  <c r="Z38" i="3"/>
  <c r="E100" i="3"/>
  <c r="AC14" i="3"/>
  <c r="AC9" i="3"/>
  <c r="A97" i="3"/>
  <c r="T8" i="3"/>
  <c r="A82" i="3"/>
  <c r="Q27" i="3"/>
  <c r="T9" i="3"/>
  <c r="Q44" i="3"/>
  <c r="Q56" i="3"/>
  <c r="AC50" i="3"/>
  <c r="Q53" i="3"/>
  <c r="A50" i="3"/>
  <c r="A52" i="3"/>
  <c r="Q49" i="3"/>
  <c r="T13" i="3"/>
  <c r="Q4" i="3"/>
  <c r="AC27" i="3"/>
  <c r="Z24" i="3"/>
  <c r="E34" i="3"/>
  <c r="AC8" i="3"/>
  <c r="E26" i="3"/>
  <c r="E88" i="3"/>
  <c r="Z35" i="3"/>
  <c r="AC39" i="3"/>
  <c r="T4" i="3"/>
  <c r="A80" i="3"/>
  <c r="T31" i="3"/>
  <c r="A72" i="3"/>
  <c r="AC32" i="3"/>
  <c r="AC46" i="3"/>
  <c r="AC51" i="3"/>
  <c r="Q5" i="3"/>
  <c r="A35" i="3"/>
  <c r="Z47" i="3"/>
  <c r="AC25" i="3"/>
  <c r="AC47" i="3"/>
  <c r="A93" i="3"/>
  <c r="A76" i="3"/>
  <c r="E57" i="3"/>
  <c r="A46" i="3"/>
  <c r="A86" i="3"/>
  <c r="Q59" i="3"/>
  <c r="AC15" i="3"/>
  <c r="A44" i="3"/>
  <c r="Q42" i="3"/>
  <c r="A85" i="3"/>
  <c r="E69" i="3"/>
  <c r="Z42" i="3"/>
  <c r="E86" i="3"/>
  <c r="Z52" i="3"/>
  <c r="A79" i="3"/>
  <c r="T14" i="3"/>
  <c r="AC6" i="3"/>
  <c r="A65" i="3"/>
  <c r="A68" i="3"/>
  <c r="E21" i="3"/>
  <c r="Z19" i="3"/>
  <c r="Q17" i="3"/>
  <c r="T29" i="3"/>
  <c r="AC11" i="3"/>
  <c r="Q40" i="3"/>
  <c r="Q33" i="3"/>
  <c r="A63" i="3"/>
  <c r="T20" i="3"/>
  <c r="E39" i="3"/>
  <c r="E31" i="3"/>
  <c r="AC12" i="3"/>
  <c r="T42" i="3"/>
  <c r="AC40" i="3"/>
  <c r="AC3" i="3"/>
  <c r="E52" i="3"/>
  <c r="T35" i="3"/>
  <c r="A40" i="3"/>
  <c r="Z28" i="3"/>
  <c r="T33" i="3"/>
  <c r="A78" i="3"/>
  <c r="Z45" i="3"/>
  <c r="Q12" i="3"/>
  <c r="E51" i="3"/>
  <c r="E19" i="3"/>
  <c r="T25" i="3"/>
  <c r="A100" i="3"/>
  <c r="E72" i="3"/>
  <c r="E50" i="3"/>
  <c r="T2" i="3"/>
  <c r="T52" i="3"/>
  <c r="A71" i="3"/>
  <c r="Z7" i="3"/>
  <c r="T48" i="3"/>
  <c r="E43" i="3"/>
  <c r="E58" i="3"/>
  <c r="Q34" i="3"/>
  <c r="A88" i="3"/>
  <c r="AC28" i="3"/>
  <c r="Z4" i="3"/>
  <c r="T32" i="3"/>
  <c r="Z21" i="3"/>
  <c r="Q60" i="3"/>
  <c r="Z2" i="3"/>
  <c r="T18" i="3"/>
  <c r="E91" i="3"/>
  <c r="A69" i="3"/>
  <c r="A33" i="3"/>
  <c r="AC30" i="3"/>
  <c r="E76" i="3"/>
  <c r="Q51" i="3"/>
  <c r="A75" i="3"/>
  <c r="Q24" i="3"/>
  <c r="T39" i="3"/>
  <c r="AC7" i="3"/>
  <c r="Z1" i="3"/>
  <c r="Q54" i="3"/>
  <c r="E56" i="3"/>
  <c r="Q48" i="3"/>
  <c r="Z46" i="3"/>
  <c r="A96" i="3"/>
  <c r="A41" i="3"/>
  <c r="Q50" i="3"/>
  <c r="T11" i="3"/>
  <c r="E75" i="3"/>
  <c r="A45" i="3"/>
  <c r="A92" i="3"/>
  <c r="T19" i="3"/>
  <c r="Z18" i="3"/>
  <c r="T45" i="3"/>
  <c r="AC43" i="3"/>
  <c r="AC33" i="3"/>
  <c r="Q2" i="3"/>
  <c r="T6" i="3"/>
  <c r="Z30" i="3"/>
  <c r="T12" i="3"/>
  <c r="AC21" i="3"/>
  <c r="AC36" i="3"/>
  <c r="Q52" i="3"/>
  <c r="AC37" i="3"/>
  <c r="T24" i="3"/>
  <c r="S2" i="3" l="1"/>
  <c r="P2" i="3"/>
  <c r="AB2" i="3"/>
  <c r="Y2" i="3"/>
  <c r="L75" i="3"/>
  <c r="L68" i="3"/>
  <c r="L16" i="3"/>
  <c r="L2" i="3"/>
  <c r="L27" i="3"/>
  <c r="L51" i="3"/>
  <c r="L71" i="3"/>
  <c r="L96" i="3"/>
  <c r="L81" i="3"/>
  <c r="L88" i="3"/>
  <c r="L55" i="3"/>
  <c r="L28" i="3"/>
  <c r="L31" i="3"/>
  <c r="L33" i="3"/>
  <c r="L49" i="3"/>
  <c r="L37" i="3"/>
  <c r="L87" i="3"/>
  <c r="L97" i="3"/>
  <c r="L52" i="3"/>
  <c r="L13" i="3"/>
  <c r="L4" i="3"/>
  <c r="L91" i="3"/>
  <c r="L94" i="3"/>
  <c r="L23" i="3"/>
  <c r="L58" i="3"/>
  <c r="L100" i="3"/>
  <c r="L57" i="3"/>
  <c r="L74" i="3"/>
  <c r="L20" i="3"/>
  <c r="L72" i="3"/>
  <c r="L9" i="3"/>
  <c r="L40" i="3"/>
  <c r="L73" i="3"/>
  <c r="L66" i="3"/>
  <c r="L48" i="3"/>
  <c r="L46" i="3"/>
  <c r="L26" i="3"/>
  <c r="L60" i="3"/>
  <c r="L47" i="3"/>
  <c r="L44" i="3"/>
  <c r="L21" i="3"/>
  <c r="L25" i="3"/>
  <c r="L70" i="3"/>
  <c r="L85" i="3"/>
  <c r="L1" i="3"/>
  <c r="L17" i="3"/>
  <c r="L39" i="3"/>
  <c r="L59" i="3"/>
  <c r="L76" i="3"/>
  <c r="L67" i="3"/>
  <c r="L35" i="3"/>
  <c r="L12" i="3"/>
  <c r="L42" i="3"/>
  <c r="L43" i="3"/>
  <c r="L53" i="3"/>
  <c r="L18" i="3"/>
  <c r="L69" i="3"/>
  <c r="L99" i="3"/>
  <c r="L24" i="3"/>
  <c r="L98" i="3"/>
  <c r="L14" i="3"/>
  <c r="L45" i="3"/>
  <c r="L34" i="3"/>
  <c r="L3" i="3"/>
  <c r="L80" i="3"/>
  <c r="L86" i="3"/>
  <c r="L19" i="3"/>
  <c r="L41" i="3"/>
  <c r="L65" i="3"/>
  <c r="L6" i="3"/>
  <c r="L77" i="3"/>
  <c r="L11" i="3"/>
  <c r="L89" i="3"/>
  <c r="L50" i="3"/>
  <c r="L84" i="3"/>
  <c r="L29" i="3"/>
  <c r="L5" i="3"/>
  <c r="L30" i="3"/>
  <c r="L32" i="3"/>
  <c r="L10" i="3"/>
  <c r="L7" i="3"/>
  <c r="L15" i="3"/>
  <c r="L79" i="3"/>
  <c r="L83" i="3"/>
  <c r="L56" i="3"/>
  <c r="L95" i="3"/>
  <c r="L63" i="3"/>
  <c r="L54" i="3"/>
  <c r="L22" i="3"/>
  <c r="L78" i="3"/>
  <c r="L38" i="3"/>
  <c r="L90" i="3"/>
  <c r="L64" i="3"/>
  <c r="L92" i="3"/>
  <c r="L8" i="3"/>
  <c r="L61" i="3"/>
  <c r="L62" i="3"/>
  <c r="L36" i="3"/>
  <c r="L93" i="3"/>
  <c r="L82" i="3"/>
  <c r="F1" i="3" l="1"/>
  <c r="G1" i="3" s="1"/>
  <c r="H1" i="3" s="1"/>
  <c r="I1" i="3" s="1"/>
  <c r="J1" i="3" s="1"/>
  <c r="F5" i="3"/>
  <c r="G5" i="3" s="1"/>
  <c r="H5" i="3" s="1"/>
  <c r="I5" i="3" s="1"/>
  <c r="F2" i="3"/>
  <c r="G2" i="3" s="1"/>
  <c r="H2" i="3" s="1"/>
  <c r="I2" i="3" s="1"/>
  <c r="J2" i="3" s="1"/>
  <c r="A10" i="1" s="1"/>
  <c r="J10" i="1" s="1"/>
  <c r="F4" i="3"/>
  <c r="G4" i="3" s="1"/>
  <c r="H4" i="3" s="1"/>
  <c r="I4" i="3" s="1"/>
  <c r="J4" i="3" s="1"/>
  <c r="A12" i="1" s="1"/>
  <c r="J12" i="1" s="1"/>
  <c r="F3" i="3"/>
  <c r="G3" i="3" s="1"/>
  <c r="H3" i="3" s="1"/>
  <c r="I3" i="3" s="1"/>
  <c r="J3" i="3" s="1"/>
  <c r="A11" i="1" s="1"/>
  <c r="J11" i="1" s="1"/>
  <c r="F89" i="3"/>
  <c r="G89" i="3" s="1"/>
  <c r="H89" i="3" s="1"/>
  <c r="I89" i="3" s="1"/>
  <c r="J89" i="3" s="1"/>
  <c r="A97" i="1" s="1"/>
  <c r="F8" i="3"/>
  <c r="G8" i="3" s="1"/>
  <c r="H8" i="3" s="1"/>
  <c r="I8" i="3" s="1"/>
  <c r="J8" i="3" s="1"/>
  <c r="A16" i="1" s="1"/>
  <c r="F47" i="3"/>
  <c r="G47" i="3" s="1"/>
  <c r="H47" i="3" s="1"/>
  <c r="I47" i="3" s="1"/>
  <c r="J47" i="3" s="1"/>
  <c r="A55" i="1" s="1"/>
  <c r="F54" i="3"/>
  <c r="G54" i="3" s="1"/>
  <c r="H54" i="3" s="1"/>
  <c r="I54" i="3" s="1"/>
  <c r="J54" i="3" s="1"/>
  <c r="A62" i="1" s="1"/>
  <c r="F78" i="3"/>
  <c r="G78" i="3" s="1"/>
  <c r="H78" i="3" s="1"/>
  <c r="I78" i="3" s="1"/>
  <c r="J78" i="3" s="1"/>
  <c r="A86" i="1" s="1"/>
  <c r="F73" i="3"/>
  <c r="G73" i="3" s="1"/>
  <c r="H73" i="3" s="1"/>
  <c r="I73" i="3" s="1"/>
  <c r="J73" i="3" s="1"/>
  <c r="A81" i="1" s="1"/>
  <c r="F87" i="3"/>
  <c r="G87" i="3" s="1"/>
  <c r="H87" i="3" s="1"/>
  <c r="I87" i="3" s="1"/>
  <c r="J87" i="3" s="1"/>
  <c r="A95" i="1" s="1"/>
  <c r="F16" i="3"/>
  <c r="G16" i="3" s="1"/>
  <c r="H16" i="3" s="1"/>
  <c r="I16" i="3" s="1"/>
  <c r="J16" i="3" s="1"/>
  <c r="A24" i="1" s="1"/>
  <c r="F58" i="3"/>
  <c r="G58" i="3" s="1"/>
  <c r="H58" i="3" s="1"/>
  <c r="I58" i="3" s="1"/>
  <c r="J58" i="3" s="1"/>
  <c r="A66" i="1" s="1"/>
  <c r="F23" i="3"/>
  <c r="G23" i="3" s="1"/>
  <c r="H23" i="3" s="1"/>
  <c r="I23" i="3" s="1"/>
  <c r="J23" i="3" s="1"/>
  <c r="A31" i="1" s="1"/>
  <c r="F96" i="3"/>
  <c r="G96" i="3" s="1"/>
  <c r="H96" i="3" s="1"/>
  <c r="I96" i="3" s="1"/>
  <c r="J96" i="3" s="1"/>
  <c r="F97" i="3"/>
  <c r="G97" i="3" s="1"/>
  <c r="H97" i="3" s="1"/>
  <c r="I97" i="3" s="1"/>
  <c r="J97" i="3" s="1"/>
  <c r="F46" i="3"/>
  <c r="G46" i="3" s="1"/>
  <c r="H46" i="3" s="1"/>
  <c r="I46" i="3" s="1"/>
  <c r="J46" i="3" s="1"/>
  <c r="A54" i="1" s="1"/>
  <c r="F100" i="3"/>
  <c r="G100" i="3" s="1"/>
  <c r="H100" i="3" s="1"/>
  <c r="I100" i="3" s="1"/>
  <c r="J100" i="3" s="1"/>
  <c r="F24" i="3"/>
  <c r="G24" i="3" s="1"/>
  <c r="H24" i="3" s="1"/>
  <c r="I24" i="3" s="1"/>
  <c r="J24" i="3" s="1"/>
  <c r="A32" i="1" s="1"/>
  <c r="F57" i="3"/>
  <c r="G57" i="3" s="1"/>
  <c r="H57" i="3" s="1"/>
  <c r="I57" i="3" s="1"/>
  <c r="J57" i="3" s="1"/>
  <c r="A65" i="1" s="1"/>
  <c r="F86" i="3"/>
  <c r="G86" i="3" s="1"/>
  <c r="H86" i="3" s="1"/>
  <c r="I86" i="3" s="1"/>
  <c r="J86" i="3" s="1"/>
  <c r="A94" i="1" s="1"/>
  <c r="F88" i="3"/>
  <c r="C96" i="1" s="1"/>
  <c r="F82" i="3"/>
  <c r="G82" i="3" s="1"/>
  <c r="H82" i="3" s="1"/>
  <c r="I82" i="3" s="1"/>
  <c r="J82" i="3" s="1"/>
  <c r="A90" i="1" s="1"/>
  <c r="F34" i="3"/>
  <c r="G34" i="3" s="1"/>
  <c r="H34" i="3" s="1"/>
  <c r="I34" i="3" s="1"/>
  <c r="J34" i="3" s="1"/>
  <c r="A42" i="1" s="1"/>
  <c r="F62" i="3"/>
  <c r="G62" i="3" s="1"/>
  <c r="H62" i="3" s="1"/>
  <c r="I62" i="3" s="1"/>
  <c r="J62" i="3" s="1"/>
  <c r="A70" i="1" s="1"/>
  <c r="F93" i="3"/>
  <c r="G93" i="3" s="1"/>
  <c r="H93" i="3" s="1"/>
  <c r="I93" i="3" s="1"/>
  <c r="J93" i="3" s="1"/>
  <c r="A101" i="1" s="1"/>
  <c r="F69" i="3"/>
  <c r="G69" i="3" s="1"/>
  <c r="H69" i="3" s="1"/>
  <c r="I69" i="3" s="1"/>
  <c r="J69" i="3" s="1"/>
  <c r="A77" i="1" s="1"/>
  <c r="F63" i="3"/>
  <c r="G63" i="3" s="1"/>
  <c r="H63" i="3" s="1"/>
  <c r="I63" i="3" s="1"/>
  <c r="J63" i="3" s="1"/>
  <c r="A71" i="1" s="1"/>
  <c r="F70" i="3"/>
  <c r="G70" i="3" s="1"/>
  <c r="H70" i="3" s="1"/>
  <c r="I70" i="3" s="1"/>
  <c r="J70" i="3" s="1"/>
  <c r="A78" i="1" s="1"/>
  <c r="F81" i="3"/>
  <c r="G81" i="3" s="1"/>
  <c r="H81" i="3" s="1"/>
  <c r="I81" i="3" s="1"/>
  <c r="J81" i="3" s="1"/>
  <c r="A89" i="1" s="1"/>
  <c r="F6" i="3"/>
  <c r="G6" i="3" s="1"/>
  <c r="H6" i="3" s="1"/>
  <c r="I6" i="3" s="1"/>
  <c r="J6" i="3" s="1"/>
  <c r="A14" i="1" s="1"/>
  <c r="F35" i="3"/>
  <c r="G35" i="3" s="1"/>
  <c r="H35" i="3" s="1"/>
  <c r="I35" i="3" s="1"/>
  <c r="J35" i="3" s="1"/>
  <c r="A43" i="1" s="1"/>
  <c r="F98" i="3"/>
  <c r="G98" i="3" s="1"/>
  <c r="H98" i="3" s="1"/>
  <c r="I98" i="3" s="1"/>
  <c r="J98" i="3" s="1"/>
  <c r="F68" i="3"/>
  <c r="G68" i="3" s="1"/>
  <c r="H68" i="3" s="1"/>
  <c r="I68" i="3" s="1"/>
  <c r="J68" i="3" s="1"/>
  <c r="A76" i="1" s="1"/>
  <c r="F74" i="3"/>
  <c r="G74" i="3" s="1"/>
  <c r="H74" i="3" s="1"/>
  <c r="I74" i="3" s="1"/>
  <c r="J74" i="3" s="1"/>
  <c r="A82" i="1" s="1"/>
  <c r="F13" i="3"/>
  <c r="C21" i="1" s="1"/>
  <c r="F53" i="3"/>
  <c r="G53" i="3" s="1"/>
  <c r="H53" i="3" s="1"/>
  <c r="I53" i="3" s="1"/>
  <c r="J53" i="3" s="1"/>
  <c r="A61" i="1" s="1"/>
  <c r="F38" i="3"/>
  <c r="G38" i="3" s="1"/>
  <c r="H38" i="3" s="1"/>
  <c r="I38" i="3" s="1"/>
  <c r="J38" i="3" s="1"/>
  <c r="A46" i="1" s="1"/>
  <c r="F83" i="3"/>
  <c r="G83" i="3" s="1"/>
  <c r="H83" i="3" s="1"/>
  <c r="I83" i="3" s="1"/>
  <c r="J83" i="3" s="1"/>
  <c r="A91" i="1" s="1"/>
  <c r="F64" i="3"/>
  <c r="C72" i="1" s="1"/>
  <c r="F84" i="3"/>
  <c r="G84" i="3" s="1"/>
  <c r="H84" i="3" s="1"/>
  <c r="I84" i="3" s="1"/>
  <c r="J84" i="3" s="1"/>
  <c r="A92" i="1" s="1"/>
  <c r="F51" i="3"/>
  <c r="G51" i="3" s="1"/>
  <c r="H51" i="3" s="1"/>
  <c r="I51" i="3" s="1"/>
  <c r="J51" i="3" s="1"/>
  <c r="A59" i="1" s="1"/>
  <c r="F85" i="3"/>
  <c r="G85" i="3" s="1"/>
  <c r="H85" i="3" s="1"/>
  <c r="I85" i="3" s="1"/>
  <c r="J85" i="3" s="1"/>
  <c r="A93" i="1" s="1"/>
  <c r="F44" i="3"/>
  <c r="C52" i="1" s="1"/>
  <c r="F10" i="3"/>
  <c r="G10" i="3" s="1"/>
  <c r="H10" i="3" s="1"/>
  <c r="I10" i="3" s="1"/>
  <c r="J10" i="3" s="1"/>
  <c r="A18" i="1" s="1"/>
  <c r="F19" i="3"/>
  <c r="G19" i="3" s="1"/>
  <c r="H19" i="3" s="1"/>
  <c r="I19" i="3" s="1"/>
  <c r="J19" i="3" s="1"/>
  <c r="A27" i="1" s="1"/>
  <c r="F11" i="3"/>
  <c r="G11" i="3" s="1"/>
  <c r="H11" i="3" s="1"/>
  <c r="I11" i="3" s="1"/>
  <c r="J11" i="3" s="1"/>
  <c r="A19" i="1" s="1"/>
  <c r="F17" i="3"/>
  <c r="G17" i="3" s="1"/>
  <c r="H17" i="3" s="1"/>
  <c r="I17" i="3" s="1"/>
  <c r="J17" i="3" s="1"/>
  <c r="A25" i="1" s="1"/>
  <c r="F60" i="3"/>
  <c r="C68" i="1" s="1"/>
  <c r="F21" i="3"/>
  <c r="G21" i="3" s="1"/>
  <c r="H21" i="3" s="1"/>
  <c r="I21" i="3" s="1"/>
  <c r="J21" i="3" s="1"/>
  <c r="A29" i="1" s="1"/>
  <c r="F76" i="3"/>
  <c r="C84" i="1" s="1"/>
  <c r="F22" i="3"/>
  <c r="G22" i="3" s="1"/>
  <c r="H22" i="3" s="1"/>
  <c r="I22" i="3" s="1"/>
  <c r="J22" i="3" s="1"/>
  <c r="A30" i="1" s="1"/>
  <c r="F79" i="3"/>
  <c r="G79" i="3" s="1"/>
  <c r="H79" i="3" s="1"/>
  <c r="I79" i="3" s="1"/>
  <c r="F80" i="3"/>
  <c r="C88" i="1" s="1"/>
  <c r="F42" i="3"/>
  <c r="G42" i="3" s="1"/>
  <c r="H42" i="3" s="1"/>
  <c r="I42" i="3" s="1"/>
  <c r="J42" i="3" s="1"/>
  <c r="A50" i="1" s="1"/>
  <c r="F52" i="3"/>
  <c r="C60" i="1" s="1"/>
  <c r="F32" i="3"/>
  <c r="C40" i="1" s="1"/>
  <c r="F55" i="3"/>
  <c r="G55" i="3" s="1"/>
  <c r="H55" i="3" s="1"/>
  <c r="I55" i="3" s="1"/>
  <c r="J55" i="3" s="1"/>
  <c r="A63" i="1" s="1"/>
  <c r="F59" i="3"/>
  <c r="G59" i="3" s="1"/>
  <c r="H59" i="3" s="1"/>
  <c r="I59" i="3" s="1"/>
  <c r="J59" i="3" s="1"/>
  <c r="A67" i="1" s="1"/>
  <c r="F56" i="3"/>
  <c r="G56" i="3" s="1"/>
  <c r="H56" i="3" s="1"/>
  <c r="I56" i="3" s="1"/>
  <c r="F77" i="3"/>
  <c r="G77" i="3" s="1"/>
  <c r="H77" i="3" s="1"/>
  <c r="I77" i="3" s="1"/>
  <c r="J77" i="3" s="1"/>
  <c r="A85" i="1" s="1"/>
  <c r="F43" i="3"/>
  <c r="G43" i="3" s="1"/>
  <c r="H43" i="3" s="1"/>
  <c r="I43" i="3" s="1"/>
  <c r="J43" i="3" s="1"/>
  <c r="A51" i="1" s="1"/>
  <c r="F7" i="3"/>
  <c r="G7" i="3" s="1"/>
  <c r="H7" i="3" s="1"/>
  <c r="I7" i="3" s="1"/>
  <c r="J7" i="3" s="1"/>
  <c r="A15" i="1" s="1"/>
  <c r="F48" i="3"/>
  <c r="C56" i="1" s="1"/>
  <c r="F50" i="3"/>
  <c r="G50" i="3" s="1"/>
  <c r="H50" i="3" s="1"/>
  <c r="I50" i="3" s="1"/>
  <c r="J50" i="3" s="1"/>
  <c r="A58" i="1" s="1"/>
  <c r="F75" i="3"/>
  <c r="G75" i="3" s="1"/>
  <c r="H75" i="3" s="1"/>
  <c r="I75" i="3" s="1"/>
  <c r="J75" i="3" s="1"/>
  <c r="A83" i="1" s="1"/>
  <c r="F40" i="3"/>
  <c r="C48" i="1" s="1"/>
  <c r="F29" i="3"/>
  <c r="G29" i="3" s="1"/>
  <c r="H29" i="3" s="1"/>
  <c r="I29" i="3" s="1"/>
  <c r="J29" i="3" s="1"/>
  <c r="A37" i="1" s="1"/>
  <c r="F94" i="3"/>
  <c r="G94" i="3" s="1"/>
  <c r="H94" i="3" s="1"/>
  <c r="I94" i="3" s="1"/>
  <c r="J94" i="3" s="1"/>
  <c r="F66" i="3"/>
  <c r="G66" i="3" s="1"/>
  <c r="H66" i="3" s="1"/>
  <c r="I66" i="3" s="1"/>
  <c r="J66" i="3" s="1"/>
  <c r="A74" i="1" s="1"/>
  <c r="F61" i="3"/>
  <c r="G61" i="3" s="1"/>
  <c r="H61" i="3" s="1"/>
  <c r="I61" i="3" s="1"/>
  <c r="J61" i="3" s="1"/>
  <c r="A69" i="1" s="1"/>
  <c r="F28" i="3"/>
  <c r="G28" i="3" s="1"/>
  <c r="H28" i="3" s="1"/>
  <c r="I28" i="3" s="1"/>
  <c r="J28" i="3" s="1"/>
  <c r="A36" i="1" s="1"/>
  <c r="F49" i="3"/>
  <c r="G49" i="3" s="1"/>
  <c r="H49" i="3" s="1"/>
  <c r="I49" i="3" s="1"/>
  <c r="J49" i="3" s="1"/>
  <c r="A57" i="1" s="1"/>
  <c r="F15" i="3"/>
  <c r="G15" i="3" s="1"/>
  <c r="H15" i="3" s="1"/>
  <c r="I15" i="3" s="1"/>
  <c r="J15" i="3" s="1"/>
  <c r="A23" i="1" s="1"/>
  <c r="F36" i="3"/>
  <c r="G36" i="3" s="1"/>
  <c r="H36" i="3" s="1"/>
  <c r="I36" i="3" s="1"/>
  <c r="J36" i="3" s="1"/>
  <c r="A44" i="1" s="1"/>
  <c r="F30" i="3"/>
  <c r="G30" i="3" s="1"/>
  <c r="H30" i="3" s="1"/>
  <c r="I30" i="3" s="1"/>
  <c r="J30" i="3" s="1"/>
  <c r="A38" i="1" s="1"/>
  <c r="F18" i="3"/>
  <c r="G18" i="3" s="1"/>
  <c r="H18" i="3" s="1"/>
  <c r="I18" i="3" s="1"/>
  <c r="J18" i="3" s="1"/>
  <c r="A26" i="1" s="1"/>
  <c r="F26" i="3"/>
  <c r="G26" i="3" s="1"/>
  <c r="H26" i="3" s="1"/>
  <c r="I26" i="3" s="1"/>
  <c r="J26" i="3" s="1"/>
  <c r="A34" i="1" s="1"/>
  <c r="F37" i="3"/>
  <c r="G37" i="3" s="1"/>
  <c r="H37" i="3" s="1"/>
  <c r="I37" i="3" s="1"/>
  <c r="J37" i="3" s="1"/>
  <c r="A45" i="1" s="1"/>
  <c r="F27" i="3"/>
  <c r="G27" i="3" s="1"/>
  <c r="H27" i="3" s="1"/>
  <c r="I27" i="3" s="1"/>
  <c r="J27" i="3" s="1"/>
  <c r="A35" i="1" s="1"/>
  <c r="F45" i="3"/>
  <c r="G45" i="3" s="1"/>
  <c r="H45" i="3" s="1"/>
  <c r="I45" i="3" s="1"/>
  <c r="J45" i="3" s="1"/>
  <c r="A53" i="1" s="1"/>
  <c r="F41" i="3"/>
  <c r="G41" i="3" s="1"/>
  <c r="H41" i="3" s="1"/>
  <c r="I41" i="3" s="1"/>
  <c r="J41" i="3" s="1"/>
  <c r="A49" i="1" s="1"/>
  <c r="F99" i="3"/>
  <c r="G99" i="3" s="1"/>
  <c r="H99" i="3" s="1"/>
  <c r="I99" i="3" s="1"/>
  <c r="J99" i="3" s="1"/>
  <c r="F72" i="3"/>
  <c r="C80" i="1" s="1"/>
  <c r="F65" i="3"/>
  <c r="G65" i="3" s="1"/>
  <c r="H65" i="3" s="1"/>
  <c r="I65" i="3" s="1"/>
  <c r="J65" i="3" s="1"/>
  <c r="A73" i="1" s="1"/>
  <c r="F91" i="3"/>
  <c r="G91" i="3" s="1"/>
  <c r="H91" i="3" s="1"/>
  <c r="I91" i="3" s="1"/>
  <c r="J91" i="3" s="1"/>
  <c r="A99" i="1" s="1"/>
  <c r="F14" i="3"/>
  <c r="G14" i="3" s="1"/>
  <c r="H14" i="3" s="1"/>
  <c r="I14" i="3" s="1"/>
  <c r="J14" i="3" s="1"/>
  <c r="A22" i="1" s="1"/>
  <c r="F25" i="3"/>
  <c r="G25" i="3" s="1"/>
  <c r="H25" i="3" s="1"/>
  <c r="I25" i="3" s="1"/>
  <c r="J25" i="3" s="1"/>
  <c r="A33" i="1" s="1"/>
  <c r="F71" i="3"/>
  <c r="C79" i="1" s="1"/>
  <c r="F20" i="3"/>
  <c r="F90" i="3"/>
  <c r="F67" i="3"/>
  <c r="G67" i="3" s="1"/>
  <c r="H67" i="3" s="1"/>
  <c r="I67" i="3" s="1"/>
  <c r="J67" i="3" s="1"/>
  <c r="F9" i="3"/>
  <c r="C17" i="1" s="1"/>
  <c r="F92" i="3"/>
  <c r="F33" i="3"/>
  <c r="G33" i="3" s="1"/>
  <c r="F12" i="3"/>
  <c r="F31" i="3"/>
  <c r="F39" i="3"/>
  <c r="C47" i="1" s="1"/>
  <c r="F95" i="3"/>
  <c r="G95" i="3" s="1"/>
  <c r="H95" i="3" s="1"/>
  <c r="I95" i="3" s="1"/>
  <c r="J95" i="3" s="1"/>
  <c r="E9" i="1"/>
  <c r="I10" i="1"/>
  <c r="C63" i="1" l="1"/>
  <c r="F11" i="1"/>
  <c r="D63" i="1"/>
  <c r="I11" i="1"/>
  <c r="C10" i="1"/>
  <c r="C11" i="1"/>
  <c r="G64" i="3"/>
  <c r="H64" i="3" s="1"/>
  <c r="I64" i="3" s="1"/>
  <c r="E12" i="1"/>
  <c r="B63" i="1"/>
  <c r="B9" i="1"/>
  <c r="I12" i="1"/>
  <c r="B10" i="1"/>
  <c r="H10" i="1" s="1"/>
  <c r="C9" i="1"/>
  <c r="D9" i="1"/>
  <c r="F10" i="1"/>
  <c r="B12" i="1"/>
  <c r="H12" i="1" s="1"/>
  <c r="C13" i="1"/>
  <c r="C26" i="1"/>
  <c r="D99" i="1"/>
  <c r="C49" i="1"/>
  <c r="D10" i="1"/>
  <c r="E73" i="1"/>
  <c r="B49" i="1"/>
  <c r="F82" i="1"/>
  <c r="B71" i="1"/>
  <c r="C70" i="1"/>
  <c r="F53" i="1"/>
  <c r="E34" i="1"/>
  <c r="F73" i="1"/>
  <c r="D85" i="1"/>
  <c r="D67" i="1"/>
  <c r="F63" i="1"/>
  <c r="D30" i="1"/>
  <c r="E29" i="1"/>
  <c r="B77" i="1"/>
  <c r="F70" i="1"/>
  <c r="F42" i="1"/>
  <c r="B75" i="1"/>
  <c r="C99" i="1"/>
  <c r="D73" i="1"/>
  <c r="B64" i="1"/>
  <c r="D101" i="1"/>
  <c r="D70" i="1"/>
  <c r="E90" i="1"/>
  <c r="C29" i="1"/>
  <c r="E77" i="1"/>
  <c r="E75" i="1"/>
  <c r="D22" i="1"/>
  <c r="F49" i="1"/>
  <c r="D53" i="1"/>
  <c r="B35" i="1"/>
  <c r="H35" i="1" s="1"/>
  <c r="C34" i="1"/>
  <c r="D26" i="1"/>
  <c r="C69" i="1"/>
  <c r="F37" i="1"/>
  <c r="B15" i="1"/>
  <c r="H15" i="1" s="1"/>
  <c r="E67" i="1"/>
  <c r="E59" i="1"/>
  <c r="D11" i="1"/>
  <c r="F12" i="1"/>
  <c r="B53" i="1"/>
  <c r="D34" i="1"/>
  <c r="C37" i="1"/>
  <c r="D59" i="1"/>
  <c r="B92" i="1"/>
  <c r="B76" i="1"/>
  <c r="F101" i="1"/>
  <c r="D33" i="1"/>
  <c r="E53" i="1"/>
  <c r="B34" i="1"/>
  <c r="H34" i="1" s="1"/>
  <c r="D37" i="1"/>
  <c r="C59" i="1"/>
  <c r="C92" i="1"/>
  <c r="D91" i="1"/>
  <c r="D76" i="1"/>
  <c r="F43" i="1"/>
  <c r="F78" i="1"/>
  <c r="E11" i="1"/>
  <c r="F90" i="1"/>
  <c r="A9" i="1"/>
  <c r="J9" i="1" s="1"/>
  <c r="F9" i="1"/>
  <c r="E13" i="1"/>
  <c r="F33" i="1"/>
  <c r="F99" i="1"/>
  <c r="C73" i="1"/>
  <c r="C53" i="1"/>
  <c r="F35" i="1"/>
  <c r="F26" i="1"/>
  <c r="F69" i="1"/>
  <c r="D74" i="1"/>
  <c r="B37" i="1"/>
  <c r="H37" i="1" s="1"/>
  <c r="B83" i="1"/>
  <c r="F85" i="1"/>
  <c r="B67" i="1"/>
  <c r="G32" i="3"/>
  <c r="H32" i="3" s="1"/>
  <c r="E40" i="1" s="1"/>
  <c r="B50" i="1"/>
  <c r="C87" i="1"/>
  <c r="D18" i="1"/>
  <c r="E18" i="1"/>
  <c r="F93" i="1"/>
  <c r="B91" i="1"/>
  <c r="E61" i="1"/>
  <c r="G13" i="3"/>
  <c r="B21" i="1" s="1"/>
  <c r="D82" i="1"/>
  <c r="B43" i="1"/>
  <c r="H43" i="1" s="1"/>
  <c r="C71" i="1"/>
  <c r="E101" i="1"/>
  <c r="E70" i="1"/>
  <c r="E42" i="1"/>
  <c r="F65" i="1"/>
  <c r="C54" i="1"/>
  <c r="F95" i="1"/>
  <c r="D55" i="1"/>
  <c r="E10" i="1"/>
  <c r="B13" i="1"/>
  <c r="B11" i="1"/>
  <c r="H11" i="1" s="1"/>
  <c r="D12" i="1"/>
  <c r="J5" i="3"/>
  <c r="A13" i="1" s="1"/>
  <c r="B74" i="1"/>
  <c r="E27" i="1"/>
  <c r="F18" i="1"/>
  <c r="D61" i="1"/>
  <c r="F54" i="1"/>
  <c r="E24" i="1"/>
  <c r="B62" i="1"/>
  <c r="F61" i="1"/>
  <c r="E99" i="1"/>
  <c r="D45" i="1"/>
  <c r="B26" i="1"/>
  <c r="H26" i="1" s="1"/>
  <c r="C38" i="1"/>
  <c r="C74" i="1"/>
  <c r="D58" i="1"/>
  <c r="C67" i="1"/>
  <c r="G52" i="3"/>
  <c r="H52" i="3" s="1"/>
  <c r="I52" i="3" s="1"/>
  <c r="J52" i="3" s="1"/>
  <c r="A60" i="1" s="1"/>
  <c r="G80" i="3"/>
  <c r="B88" i="1" s="1"/>
  <c r="B30" i="1"/>
  <c r="H30" i="1" s="1"/>
  <c r="D25" i="1"/>
  <c r="C27" i="1"/>
  <c r="B18" i="1"/>
  <c r="H18" i="1" s="1"/>
  <c r="G44" i="3"/>
  <c r="C61" i="1"/>
  <c r="C82" i="1"/>
  <c r="E14" i="1"/>
  <c r="B101" i="1"/>
  <c r="B94" i="1"/>
  <c r="E54" i="1"/>
  <c r="E31" i="1"/>
  <c r="D24" i="1"/>
  <c r="D81" i="1"/>
  <c r="C62" i="1"/>
  <c r="C12" i="1"/>
  <c r="D13" i="1"/>
  <c r="C41" i="1"/>
  <c r="C75" i="1"/>
  <c r="D75" i="1"/>
  <c r="B33" i="1"/>
  <c r="H33" i="1" s="1"/>
  <c r="F22" i="1"/>
  <c r="B73" i="1"/>
  <c r="G72" i="3"/>
  <c r="H72" i="3" s="1"/>
  <c r="D49" i="1"/>
  <c r="C35" i="1"/>
  <c r="B45" i="1"/>
  <c r="H45" i="1" s="1"/>
  <c r="E26" i="1"/>
  <c r="F38" i="1"/>
  <c r="B44" i="1"/>
  <c r="H44" i="1" s="1"/>
  <c r="F23" i="1"/>
  <c r="E23" i="1"/>
  <c r="D36" i="1"/>
  <c r="E74" i="1"/>
  <c r="E37" i="1"/>
  <c r="F83" i="1"/>
  <c r="C83" i="1"/>
  <c r="B85" i="1"/>
  <c r="C85" i="1"/>
  <c r="E64" i="1"/>
  <c r="F67" i="1"/>
  <c r="G76" i="3"/>
  <c r="B84" i="1" s="1"/>
  <c r="F29" i="1"/>
  <c r="C25" i="1"/>
  <c r="D19" i="1"/>
  <c r="E93" i="1"/>
  <c r="F92" i="1"/>
  <c r="B46" i="1"/>
  <c r="B61" i="1"/>
  <c r="B82" i="1"/>
  <c r="F76" i="1"/>
  <c r="E76" i="1"/>
  <c r="E43" i="1"/>
  <c r="C43" i="1"/>
  <c r="F14" i="1"/>
  <c r="B89" i="1"/>
  <c r="B78" i="1"/>
  <c r="F77" i="1"/>
  <c r="D90" i="1"/>
  <c r="D54" i="1"/>
  <c r="B66" i="1"/>
  <c r="B81" i="1"/>
  <c r="D97" i="1"/>
  <c r="B22" i="1"/>
  <c r="H22" i="1" s="1"/>
  <c r="F45" i="1"/>
  <c r="E38" i="1"/>
  <c r="E44" i="1"/>
  <c r="D23" i="1"/>
  <c r="C57" i="1"/>
  <c r="D14" i="1"/>
  <c r="E78" i="1"/>
  <c r="C77" i="1"/>
  <c r="C101" i="1"/>
  <c r="C90" i="1"/>
  <c r="B90" i="1"/>
  <c r="D94" i="1"/>
  <c r="E32" i="1"/>
  <c r="F16" i="1"/>
  <c r="E33" i="1"/>
  <c r="E22" i="1"/>
  <c r="C22" i="1"/>
  <c r="D35" i="1"/>
  <c r="C45" i="1"/>
  <c r="E45" i="1"/>
  <c r="D38" i="1"/>
  <c r="C23" i="1"/>
  <c r="E57" i="1"/>
  <c r="D83" i="1"/>
  <c r="F58" i="1"/>
  <c r="C64" i="1"/>
  <c r="B93" i="1"/>
  <c r="B32" i="1"/>
  <c r="H32" i="1" s="1"/>
  <c r="B31" i="1"/>
  <c r="H31" i="1" s="1"/>
  <c r="C86" i="1"/>
  <c r="D16" i="1"/>
  <c r="F44" i="1"/>
  <c r="J56" i="3"/>
  <c r="A64" i="1" s="1"/>
  <c r="J64" i="1" s="1"/>
  <c r="B29" i="1"/>
  <c r="H29" i="1" s="1"/>
  <c r="F19" i="1"/>
  <c r="C93" i="1"/>
  <c r="E92" i="1"/>
  <c r="C76" i="1"/>
  <c r="D43" i="1"/>
  <c r="B14" i="1"/>
  <c r="H14" i="1" s="1"/>
  <c r="D89" i="1"/>
  <c r="C78" i="1"/>
  <c r="H33" i="3"/>
  <c r="E41" i="1" s="1"/>
  <c r="G92" i="3"/>
  <c r="C100" i="1"/>
  <c r="G20" i="3"/>
  <c r="B28" i="1" s="1"/>
  <c r="G12" i="3"/>
  <c r="C20" i="1"/>
  <c r="C98" i="1"/>
  <c r="G90" i="3"/>
  <c r="G39" i="3"/>
  <c r="B47" i="1" s="1"/>
  <c r="G31" i="3"/>
  <c r="C39" i="1"/>
  <c r="B41" i="1"/>
  <c r="A75" i="1"/>
  <c r="F75" i="1"/>
  <c r="C28" i="1"/>
  <c r="G9" i="3"/>
  <c r="G71" i="3"/>
  <c r="B79" i="1" s="1"/>
  <c r="J33" i="1"/>
  <c r="I33" i="1"/>
  <c r="J99" i="1"/>
  <c r="H99" i="1"/>
  <c r="I99" i="1"/>
  <c r="J49" i="1"/>
  <c r="H49" i="1"/>
  <c r="I49" i="1"/>
  <c r="J35" i="1"/>
  <c r="I35" i="1"/>
  <c r="J34" i="1"/>
  <c r="I34" i="1"/>
  <c r="J38" i="1"/>
  <c r="I38" i="1"/>
  <c r="C44" i="1"/>
  <c r="J23" i="1"/>
  <c r="I23" i="1"/>
  <c r="D57" i="1"/>
  <c r="F36" i="1"/>
  <c r="B36" i="1"/>
  <c r="B69" i="1"/>
  <c r="F74" i="1"/>
  <c r="J83" i="1"/>
  <c r="H83" i="1"/>
  <c r="I83" i="1"/>
  <c r="E58" i="1"/>
  <c r="F15" i="1"/>
  <c r="D15" i="1"/>
  <c r="D51" i="1"/>
  <c r="J85" i="1"/>
  <c r="I85" i="1"/>
  <c r="H85" i="1"/>
  <c r="J63" i="1"/>
  <c r="H63" i="1"/>
  <c r="I63" i="1"/>
  <c r="E50" i="1"/>
  <c r="D87" i="1"/>
  <c r="E87" i="1"/>
  <c r="C30" i="1"/>
  <c r="J29" i="1"/>
  <c r="I29" i="1"/>
  <c r="G60" i="3"/>
  <c r="B68" i="1" s="1"/>
  <c r="F25" i="1"/>
  <c r="C19" i="1"/>
  <c r="B19" i="1"/>
  <c r="H19" i="1" s="1"/>
  <c r="D27" i="1"/>
  <c r="J18" i="1"/>
  <c r="I18" i="1"/>
  <c r="J93" i="1"/>
  <c r="H93" i="1"/>
  <c r="I93" i="1"/>
  <c r="J59" i="1"/>
  <c r="I59" i="1"/>
  <c r="H59" i="1"/>
  <c r="J92" i="1"/>
  <c r="H92" i="1"/>
  <c r="I92" i="1"/>
  <c r="E91" i="1"/>
  <c r="F46" i="1"/>
  <c r="C46" i="1"/>
  <c r="J82" i="1"/>
  <c r="I82" i="1"/>
  <c r="H82" i="1"/>
  <c r="J14" i="1"/>
  <c r="I14" i="1"/>
  <c r="E89" i="1"/>
  <c r="J78" i="1"/>
  <c r="H78" i="1"/>
  <c r="I78" i="1"/>
  <c r="D71" i="1"/>
  <c r="J77" i="1"/>
  <c r="I77" i="1"/>
  <c r="H77" i="1"/>
  <c r="J70" i="1"/>
  <c r="I70" i="1"/>
  <c r="H70" i="1"/>
  <c r="D42" i="1"/>
  <c r="J90" i="1"/>
  <c r="H90" i="1"/>
  <c r="I90" i="1"/>
  <c r="F94" i="1"/>
  <c r="E94" i="1"/>
  <c r="C65" i="1"/>
  <c r="F32" i="1"/>
  <c r="D32" i="1"/>
  <c r="B54" i="1"/>
  <c r="F31" i="1"/>
  <c r="D31" i="1"/>
  <c r="E66" i="1"/>
  <c r="B24" i="1"/>
  <c r="H24" i="1" s="1"/>
  <c r="F24" i="1"/>
  <c r="E95" i="1"/>
  <c r="F81" i="1"/>
  <c r="E81" i="1"/>
  <c r="F86" i="1"/>
  <c r="F62" i="1"/>
  <c r="D62" i="1"/>
  <c r="C55" i="1"/>
  <c r="E16" i="1"/>
  <c r="C16" i="1"/>
  <c r="F97" i="1"/>
  <c r="J44" i="1"/>
  <c r="I44" i="1"/>
  <c r="J36" i="1"/>
  <c r="H36" i="1"/>
  <c r="I36" i="1"/>
  <c r="J15" i="1"/>
  <c r="I15" i="1"/>
  <c r="J51" i="1"/>
  <c r="H51" i="1"/>
  <c r="I51" i="1"/>
  <c r="J50" i="1"/>
  <c r="I50" i="1"/>
  <c r="H50" i="1"/>
  <c r="J19" i="1"/>
  <c r="I19" i="1"/>
  <c r="J91" i="1"/>
  <c r="I91" i="1"/>
  <c r="H91" i="1"/>
  <c r="E46" i="1"/>
  <c r="J89" i="1"/>
  <c r="H89" i="1"/>
  <c r="I89" i="1"/>
  <c r="J71" i="1"/>
  <c r="H71" i="1"/>
  <c r="I71" i="1"/>
  <c r="J42" i="1"/>
  <c r="I42" i="1"/>
  <c r="J94" i="1"/>
  <c r="I94" i="1"/>
  <c r="H94" i="1"/>
  <c r="E65" i="1"/>
  <c r="J32" i="1"/>
  <c r="I32" i="1"/>
  <c r="J31" i="1"/>
  <c r="I31" i="1"/>
  <c r="C66" i="1"/>
  <c r="J24" i="1"/>
  <c r="I24" i="1"/>
  <c r="D95" i="1"/>
  <c r="J81" i="1"/>
  <c r="I81" i="1"/>
  <c r="H81" i="1"/>
  <c r="E86" i="1"/>
  <c r="J62" i="1"/>
  <c r="I62" i="1"/>
  <c r="H62" i="1"/>
  <c r="B55" i="1"/>
  <c r="J16" i="1"/>
  <c r="I16" i="1"/>
  <c r="E97" i="1"/>
  <c r="C33" i="1"/>
  <c r="J22" i="1"/>
  <c r="I22" i="1"/>
  <c r="B99" i="1"/>
  <c r="J73" i="1"/>
  <c r="H73" i="1"/>
  <c r="I73" i="1"/>
  <c r="E49" i="1"/>
  <c r="J53" i="1"/>
  <c r="I53" i="1"/>
  <c r="H53" i="1"/>
  <c r="E35" i="1"/>
  <c r="J45" i="1"/>
  <c r="I45" i="1"/>
  <c r="F34" i="1"/>
  <c r="J26" i="1"/>
  <c r="I26" i="1"/>
  <c r="B38" i="1"/>
  <c r="H38" i="1" s="1"/>
  <c r="D44" i="1"/>
  <c r="B23" i="1"/>
  <c r="H23" i="1" s="1"/>
  <c r="F57" i="1"/>
  <c r="B57" i="1"/>
  <c r="C36" i="1"/>
  <c r="E69" i="1"/>
  <c r="D69" i="1"/>
  <c r="J37" i="1"/>
  <c r="I37" i="1"/>
  <c r="G40" i="3"/>
  <c r="E83" i="1"/>
  <c r="B58" i="1"/>
  <c r="C58" i="1"/>
  <c r="G48" i="3"/>
  <c r="H48" i="3" s="1"/>
  <c r="C15" i="1"/>
  <c r="F51" i="1"/>
  <c r="C51" i="1"/>
  <c r="E85" i="1"/>
  <c r="D64" i="1"/>
  <c r="J67" i="1"/>
  <c r="I67" i="1"/>
  <c r="H67" i="1"/>
  <c r="E63" i="1"/>
  <c r="C50" i="1"/>
  <c r="D50" i="1"/>
  <c r="J79" i="3"/>
  <c r="A87" i="1" s="1"/>
  <c r="F30" i="1"/>
  <c r="E30" i="1"/>
  <c r="D29" i="1"/>
  <c r="B25" i="1"/>
  <c r="H25" i="1" s="1"/>
  <c r="E25" i="1"/>
  <c r="E19" i="1"/>
  <c r="F27" i="1"/>
  <c r="B27" i="1"/>
  <c r="H27" i="1" s="1"/>
  <c r="C18" i="1"/>
  <c r="D93" i="1"/>
  <c r="F59" i="1"/>
  <c r="B59" i="1"/>
  <c r="D92" i="1"/>
  <c r="F91" i="1"/>
  <c r="C91" i="1"/>
  <c r="D46" i="1"/>
  <c r="J61" i="1"/>
  <c r="I61" i="1"/>
  <c r="H61" i="1"/>
  <c r="E82" i="1"/>
  <c r="J76" i="1"/>
  <c r="H76" i="1"/>
  <c r="I76" i="1"/>
  <c r="J43" i="1"/>
  <c r="I43" i="1"/>
  <c r="C14" i="1"/>
  <c r="F89" i="1"/>
  <c r="C89" i="1"/>
  <c r="D78" i="1"/>
  <c r="F71" i="1"/>
  <c r="E71" i="1"/>
  <c r="D77" i="1"/>
  <c r="J101" i="1"/>
  <c r="I101" i="1"/>
  <c r="H101" i="1"/>
  <c r="B70" i="1"/>
  <c r="B42" i="1"/>
  <c r="H42" i="1" s="1"/>
  <c r="C42" i="1"/>
  <c r="G88" i="3"/>
  <c r="B96" i="1" s="1"/>
  <c r="C94" i="1"/>
  <c r="B65" i="1"/>
  <c r="D65" i="1"/>
  <c r="C32" i="1"/>
  <c r="J54" i="1"/>
  <c r="I54" i="1"/>
  <c r="H54" i="1"/>
  <c r="C31" i="1"/>
  <c r="F66" i="1"/>
  <c r="D66" i="1"/>
  <c r="C24" i="1"/>
  <c r="B95" i="1"/>
  <c r="C95" i="1"/>
  <c r="C81" i="1"/>
  <c r="D86" i="1"/>
  <c r="B86" i="1"/>
  <c r="E62" i="1"/>
  <c r="F55" i="1"/>
  <c r="E55" i="1"/>
  <c r="B16" i="1"/>
  <c r="H16" i="1" s="1"/>
  <c r="B97" i="1"/>
  <c r="C97" i="1"/>
  <c r="J57" i="1"/>
  <c r="I57" i="1"/>
  <c r="H57" i="1"/>
  <c r="E36" i="1"/>
  <c r="J69" i="1"/>
  <c r="H69" i="1"/>
  <c r="I69" i="1"/>
  <c r="J74" i="1"/>
  <c r="I74" i="1"/>
  <c r="H74" i="1"/>
  <c r="J58" i="1"/>
  <c r="H58" i="1"/>
  <c r="I58" i="1"/>
  <c r="E15" i="1"/>
  <c r="E51" i="1"/>
  <c r="B51" i="1"/>
  <c r="F50" i="1"/>
  <c r="B87" i="1"/>
  <c r="J30" i="1"/>
  <c r="I30" i="1"/>
  <c r="J25" i="1"/>
  <c r="I25" i="1"/>
  <c r="J27" i="1"/>
  <c r="I27" i="1"/>
  <c r="J46" i="1"/>
  <c r="I46" i="1"/>
  <c r="H46" i="1"/>
  <c r="J65" i="1"/>
  <c r="I65" i="1"/>
  <c r="H65" i="1"/>
  <c r="J66" i="1"/>
  <c r="I66" i="1"/>
  <c r="H66" i="1"/>
  <c r="J95" i="1"/>
  <c r="I95" i="1"/>
  <c r="H95" i="1"/>
  <c r="I86" i="1"/>
  <c r="H86" i="1"/>
  <c r="J86" i="1"/>
  <c r="J55" i="1"/>
  <c r="I55" i="1"/>
  <c r="H55" i="1"/>
  <c r="J97" i="1"/>
  <c r="H97" i="1"/>
  <c r="I97" i="1"/>
  <c r="B40" i="1" l="1"/>
  <c r="E72" i="1"/>
  <c r="B72" i="1"/>
  <c r="I32" i="3"/>
  <c r="D40" i="1" s="1"/>
  <c r="H80" i="3"/>
  <c r="I80" i="3" s="1"/>
  <c r="D88" i="1" s="1"/>
  <c r="B80" i="1"/>
  <c r="H9" i="1"/>
  <c r="H64" i="1"/>
  <c r="H13" i="3"/>
  <c r="E21" i="1" s="1"/>
  <c r="I64" i="1"/>
  <c r="E60" i="1"/>
  <c r="F60" i="1"/>
  <c r="H76" i="3"/>
  <c r="I76" i="3" s="1"/>
  <c r="D84" i="1" s="1"/>
  <c r="B60" i="1"/>
  <c r="D60" i="1"/>
  <c r="H13" i="1"/>
  <c r="I13" i="1"/>
  <c r="J13" i="1"/>
  <c r="B52" i="1"/>
  <c r="H44" i="3"/>
  <c r="I9" i="1"/>
  <c r="F13" i="1"/>
  <c r="F64" i="1"/>
  <c r="J87" i="1"/>
  <c r="I87" i="1"/>
  <c r="H87" i="1"/>
  <c r="H9" i="3"/>
  <c r="E17" i="1" s="1"/>
  <c r="J64" i="3"/>
  <c r="A72" i="1" s="1"/>
  <c r="B100" i="1"/>
  <c r="H92" i="3"/>
  <c r="E100" i="1" s="1"/>
  <c r="H88" i="3"/>
  <c r="E96" i="1" s="1"/>
  <c r="J60" i="1"/>
  <c r="H60" i="1"/>
  <c r="I60" i="1"/>
  <c r="H31" i="3"/>
  <c r="E39" i="1" s="1"/>
  <c r="B39" i="1"/>
  <c r="D72" i="1"/>
  <c r="E56" i="1"/>
  <c r="I48" i="3"/>
  <c r="D56" i="1" s="1"/>
  <c r="B48" i="1"/>
  <c r="H40" i="3"/>
  <c r="E48" i="1" s="1"/>
  <c r="H60" i="3"/>
  <c r="E68" i="1" s="1"/>
  <c r="B56" i="1"/>
  <c r="H71" i="3"/>
  <c r="E79" i="1" s="1"/>
  <c r="J75" i="1"/>
  <c r="H75" i="1"/>
  <c r="I75" i="1"/>
  <c r="H12" i="3"/>
  <c r="E20" i="1" s="1"/>
  <c r="B20" i="1"/>
  <c r="H20" i="3"/>
  <c r="E28" i="1" s="1"/>
  <c r="I33" i="3"/>
  <c r="D41" i="1" s="1"/>
  <c r="B17" i="1"/>
  <c r="F87" i="1"/>
  <c r="I72" i="3"/>
  <c r="D80" i="1" s="1"/>
  <c r="H39" i="3"/>
  <c r="E47" i="1" s="1"/>
  <c r="H90" i="3"/>
  <c r="E98" i="1" s="1"/>
  <c r="B98" i="1"/>
  <c r="E80" i="1"/>
  <c r="J32" i="3" l="1"/>
  <c r="A40" i="1" s="1"/>
  <c r="I40" i="1" s="1"/>
  <c r="E88" i="1"/>
  <c r="I13" i="3"/>
  <c r="D21" i="1" s="1"/>
  <c r="E84" i="1"/>
  <c r="I44" i="3"/>
  <c r="D52" i="1" s="1"/>
  <c r="E52" i="1"/>
  <c r="I39" i="3"/>
  <c r="D47" i="1" s="1"/>
  <c r="I20" i="3"/>
  <c r="D28" i="1" s="1"/>
  <c r="I31" i="3"/>
  <c r="D39" i="1" s="1"/>
  <c r="J76" i="3"/>
  <c r="A84" i="1" s="1"/>
  <c r="I92" i="3"/>
  <c r="D100" i="1" s="1"/>
  <c r="J80" i="3"/>
  <c r="A88" i="1" s="1"/>
  <c r="I9" i="3"/>
  <c r="D17" i="1" s="1"/>
  <c r="I90" i="3"/>
  <c r="J72" i="3"/>
  <c r="A80" i="1" s="1"/>
  <c r="J33" i="3"/>
  <c r="A41" i="1" s="1"/>
  <c r="I60" i="3"/>
  <c r="F72" i="1"/>
  <c r="I12" i="3"/>
  <c r="I71" i="3"/>
  <c r="D79" i="1" s="1"/>
  <c r="I40" i="3"/>
  <c r="J48" i="3"/>
  <c r="A56" i="1" s="1"/>
  <c r="I88" i="3"/>
  <c r="J72" i="1"/>
  <c r="H72" i="1"/>
  <c r="I72" i="1"/>
  <c r="J40" i="1" l="1"/>
  <c r="F40" i="1"/>
  <c r="H40" i="1"/>
  <c r="J13" i="3"/>
  <c r="A21" i="1" s="1"/>
  <c r="J44" i="3"/>
  <c r="A52" i="1" s="1"/>
  <c r="F88" i="1"/>
  <c r="J40" i="3"/>
  <c r="A48" i="1" s="1"/>
  <c r="J12" i="3"/>
  <c r="A20" i="1" s="1"/>
  <c r="J60" i="3"/>
  <c r="A68" i="1" s="1"/>
  <c r="J90" i="3"/>
  <c r="A98" i="1" s="1"/>
  <c r="J84" i="1"/>
  <c r="H84" i="1"/>
  <c r="I84" i="1"/>
  <c r="J20" i="3"/>
  <c r="A28" i="1" s="1"/>
  <c r="J41" i="1"/>
  <c r="I41" i="1"/>
  <c r="H41" i="1"/>
  <c r="F56" i="1"/>
  <c r="D68" i="1"/>
  <c r="F80" i="1"/>
  <c r="J56" i="1"/>
  <c r="I56" i="1"/>
  <c r="H56" i="1"/>
  <c r="J80" i="1"/>
  <c r="H80" i="1"/>
  <c r="I80" i="1"/>
  <c r="J9" i="3"/>
  <c r="A17" i="1" s="1"/>
  <c r="J92" i="3"/>
  <c r="A100" i="1" s="1"/>
  <c r="J31" i="3"/>
  <c r="A39" i="1" s="1"/>
  <c r="J88" i="3"/>
  <c r="A96" i="1" s="1"/>
  <c r="J71" i="3"/>
  <c r="A79" i="1" s="1"/>
  <c r="D96" i="1"/>
  <c r="D48" i="1"/>
  <c r="D20" i="1"/>
  <c r="F41" i="1"/>
  <c r="D98" i="1"/>
  <c r="J88" i="1"/>
  <c r="I88" i="1"/>
  <c r="H88" i="1"/>
  <c r="F84" i="1"/>
  <c r="J39" i="3"/>
  <c r="A47" i="1" s="1"/>
  <c r="F21" i="1" l="1"/>
  <c r="J21" i="1"/>
  <c r="I21" i="1"/>
  <c r="H21" i="1"/>
  <c r="F96" i="1"/>
  <c r="F68" i="1"/>
  <c r="F52" i="1"/>
  <c r="J52" i="1"/>
  <c r="H52" i="1"/>
  <c r="I52" i="1"/>
  <c r="F28" i="1"/>
  <c r="F79" i="1"/>
  <c r="F47" i="1"/>
  <c r="J96" i="1"/>
  <c r="I96" i="1"/>
  <c r="H96" i="1"/>
  <c r="F100" i="1"/>
  <c r="J28" i="1"/>
  <c r="I28" i="1"/>
  <c r="H28" i="1"/>
  <c r="F98" i="1"/>
  <c r="F20" i="1"/>
  <c r="J79" i="1"/>
  <c r="I79" i="1"/>
  <c r="H79" i="1"/>
  <c r="F39" i="1"/>
  <c r="F17" i="1"/>
  <c r="J98" i="1"/>
  <c r="H98" i="1"/>
  <c r="I98" i="1"/>
  <c r="J20" i="1"/>
  <c r="I20" i="1"/>
  <c r="H20" i="1"/>
  <c r="J39" i="1"/>
  <c r="I39" i="1"/>
  <c r="H39" i="1"/>
  <c r="J17" i="1"/>
  <c r="I17" i="1"/>
  <c r="H17" i="1"/>
  <c r="J48" i="1"/>
  <c r="I48" i="1"/>
  <c r="H48" i="1"/>
  <c r="J47" i="1"/>
  <c r="I47" i="1"/>
  <c r="H47" i="1"/>
  <c r="J100" i="1"/>
  <c r="H100" i="1"/>
  <c r="I100" i="1"/>
  <c r="J68" i="1"/>
  <c r="H68" i="1"/>
  <c r="I68" i="1"/>
  <c r="F48" i="1"/>
</calcChain>
</file>

<file path=xl/sharedStrings.xml><?xml version="1.0" encoding="utf-8"?>
<sst xmlns="http://schemas.openxmlformats.org/spreadsheetml/2006/main" count="85" uniqueCount="37">
  <si>
    <t>Arsopi - Indústrias Metalúrgicas Arlindo S. Pinho, Lda.</t>
  </si>
  <si>
    <t>OBSERVAÇÕES:</t>
  </si>
  <si>
    <t>NOME:</t>
  </si>
  <si>
    <t>TÉCNICA:</t>
  </si>
  <si>
    <t>NORMA REFERÊNCIA:</t>
  </si>
  <si>
    <t>Nº CERTIFICADO:</t>
  </si>
  <si>
    <t>NÍVEL:</t>
  </si>
  <si>
    <t>CERTIFICADO:</t>
  </si>
  <si>
    <t>CERTIFICADOS OPERADORES END - ARSOPI</t>
  </si>
  <si>
    <t>MT</t>
  </si>
  <si>
    <t>PT</t>
  </si>
  <si>
    <t>RT</t>
  </si>
  <si>
    <t>UT</t>
  </si>
  <si>
    <t>VT</t>
  </si>
  <si>
    <t>RELATÓRIO ACUIDADE VISUAL:</t>
  </si>
  <si>
    <t>VALIDADE CERTIFICADO:</t>
  </si>
  <si>
    <t>VALIDADE ACUIDADE:</t>
  </si>
  <si>
    <t>Directório Geral:</t>
  </si>
  <si>
    <t>RX</t>
  </si>
  <si>
    <t>Diretório Geral</t>
  </si>
  <si>
    <t>Sacar ficheiros</t>
  </si>
  <si>
    <t>Q:\11 - QUALIFICAÇÕES END\1 - QUALIFICAÇÕES END\3 - DOCS SUPORTE - ASP\1 - ACUIDADE VISUAL</t>
  </si>
  <si>
    <t>Q:\11 - QUALIFICAÇÕES END\1 - QUALIFICAÇÕES END\1 - ASP</t>
  </si>
  <si>
    <t>Fernando Pinheiro da Costa</t>
  </si>
  <si>
    <t>Ricardo Filipe Pina Freire</t>
  </si>
  <si>
    <t>Fernando Jorge Rodrigues Nogueira</t>
  </si>
  <si>
    <t>José Soares Ferreira</t>
  </si>
  <si>
    <t>Bruno Filipe Correia Silva</t>
  </si>
  <si>
    <t>Francisco José Pereira Fernandes</t>
  </si>
  <si>
    <t>Fernando Miguel Pinho Fernandes</t>
  </si>
  <si>
    <t>José Eduardo Martins Pinho</t>
  </si>
  <si>
    <t>Marcelo Filipe Ferreira Pinto</t>
  </si>
  <si>
    <t>CONTINUIDADE NA ACTIVIDADE - ASNT-TC-1A</t>
  </si>
  <si>
    <t>INÍCIO CERTIFICAÇÃO:</t>
  </si>
  <si>
    <t>VALIDADE CERTIFICAÇÃO:</t>
  </si>
  <si>
    <t>DATA DE CONTINUIDADE DE ACTIVIDADE</t>
  </si>
  <si>
    <t>PERFORMANCE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</si>
</sst>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20"/>
      <color theme="8"/>
      <name val="Arial"/>
      <family val="2"/>
    </font>
    <font>
      <sz val="20"/>
      <color theme="1"/>
      <name val="Arial"/>
      <family val="2"/>
    </font>
    <font>
      <sz val="10"/>
      <color indexed="72"/>
      <name val="MS Sans Serif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70C0"/>
      <name val="Arial 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0" fontId="4" fillId="0" borderId="10" xfId="2" quotePrefix="1" applyBorder="1" applyAlignment="1">
      <alignment horizontal="center" vertical="center"/>
    </xf>
    <xf numFmtId="0" fontId="4" fillId="0" borderId="10" xfId="2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4" fillId="0" borderId="10" xfId="2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13" xfId="2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14" fontId="0" fillId="0" borderId="15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5" xfId="0" applyBorder="1"/>
    <xf numFmtId="0" fontId="0" fillId="0" borderId="22" xfId="0" applyBorder="1" applyAlignment="1">
      <alignment horizontal="center" vertical="center"/>
    </xf>
    <xf numFmtId="0" fontId="0" fillId="0" borderId="21" xfId="0" applyBorder="1"/>
    <xf numFmtId="0" fontId="0" fillId="0" borderId="23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0" xfId="0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14" fontId="5" fillId="2" borderId="15" xfId="0" applyNumberFormat="1" applyFont="1" applyFill="1" applyBorder="1"/>
    <xf numFmtId="14" fontId="5" fillId="2" borderId="21" xfId="0" applyNumberFormat="1" applyFont="1" applyFill="1" applyBorder="1"/>
    <xf numFmtId="14" fontId="5" fillId="2" borderId="30" xfId="0" applyNumberFormat="1" applyFont="1" applyFill="1" applyBorder="1"/>
    <xf numFmtId="0" fontId="0" fillId="0" borderId="30" xfId="0" applyBorder="1"/>
    <xf numFmtId="0" fontId="0" fillId="0" borderId="31" xfId="0" applyBorder="1"/>
    <xf numFmtId="14" fontId="0" fillId="0" borderId="0" xfId="0" applyNumberFormat="1"/>
    <xf numFmtId="14" fontId="0" fillId="0" borderId="15" xfId="0" applyNumberFormat="1" applyBorder="1"/>
    <xf numFmtId="14" fontId="0" fillId="0" borderId="24" xfId="0" applyNumberFormat="1" applyBorder="1"/>
    <xf numFmtId="0" fontId="0" fillId="0" borderId="38" xfId="0" applyBorder="1"/>
    <xf numFmtId="0" fontId="0" fillId="0" borderId="39" xfId="0" applyBorder="1"/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0" fontId="4" fillId="0" borderId="41" xfId="2" applyBorder="1" applyAlignment="1">
      <alignment horizontal="center" vertical="center"/>
    </xf>
    <xf numFmtId="0" fontId="4" fillId="0" borderId="41" xfId="2" applyBorder="1" applyAlignment="1">
      <alignment horizontal="center" vertical="center" wrapText="1"/>
    </xf>
    <xf numFmtId="14" fontId="0" fillId="0" borderId="42" xfId="0" applyNumberForma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5" fillId="2" borderId="27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2" borderId="26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4" fontId="5" fillId="2" borderId="32" xfId="0" applyNumberFormat="1" applyFont="1" applyFill="1" applyBorder="1" applyAlignment="1">
      <alignment horizontal="center"/>
    </xf>
    <xf numFmtId="14" fontId="5" fillId="2" borderId="33" xfId="0" applyNumberFormat="1" applyFont="1" applyFill="1" applyBorder="1" applyAlignment="1">
      <alignment horizontal="center"/>
    </xf>
    <xf numFmtId="14" fontId="5" fillId="2" borderId="34" xfId="0" applyNumberFormat="1" applyFont="1" applyFill="1" applyBorder="1" applyAlignment="1">
      <alignment horizontal="center"/>
    </xf>
    <xf numFmtId="0" fontId="5" fillId="2" borderId="17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8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30" xfId="0" applyFont="1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4" fontId="5" fillId="2" borderId="20" xfId="0" applyNumberFormat="1" applyFont="1" applyFill="1" applyBorder="1" applyAlignment="1">
      <alignment horizontal="center"/>
    </xf>
    <xf numFmtId="14" fontId="5" fillId="2" borderId="15" xfId="0" applyNumberFormat="1" applyFont="1" applyFill="1" applyBorder="1" applyAlignment="1">
      <alignment horizontal="center"/>
    </xf>
    <xf numFmtId="14" fontId="5" fillId="2" borderId="21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Hiperligação" xfId="2" builtinId="8"/>
    <cellStyle name="Normal" xfId="0" builtinId="0"/>
    <cellStyle name="Normal 2" xfId="1" xr:uid="{00000000-0005-0000-0000-000002000000}"/>
  </cellStyles>
  <dxfs count="20"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numFmt numFmtId="19" formatCode="dd/mm/yyyy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medium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9" formatCode="dd/mm/yyyy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top style="medium">
          <color indexed="64"/>
        </top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354972</xdr:colOff>
      <xdr:row>0</xdr:row>
      <xdr:rowOff>109203</xdr:rowOff>
    </xdr:from>
    <xdr:to>
      <xdr:col>0</xdr:col>
      <xdr:colOff>2062637</xdr:colOff>
      <xdr:row>3</xdr:row>
      <xdr:rowOff>144169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72" y="109203"/>
          <a:ext cx="1707665" cy="606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8:J101" totalsRowShown="0" headerRowDxfId="14" dataDxfId="13" tableBorderDxfId="12">
  <autoFilter ref="A8:J101" xr:uid="{00000000-0009-0000-0100-000001000000}"/>
  <tableColumns count="10">
    <tableColumn id="1" xr3:uid="{00000000-0010-0000-0000-000001000000}" name="NOME:" dataDxfId="11">
      <calculatedColumnFormula>IFERROR(MID('Cálculo end'!L1,'Cálculo end'!J1+1,LEN('Cálculo end'!L1)-'Cálculo end'!J1-4),"")</calculatedColumnFormula>
    </tableColumn>
    <tableColumn id="7" xr3:uid="{00000000-0010-0000-0000-000007000000}" name="TÉCNICA:" dataDxfId="10">
      <calculatedColumnFormula>IFERROR(MID('Cálculo end'!L1,'Cálculo end'!F1+1,'Cálculo end'!G1-'Cálculo end'!F1-1),"")</calculatedColumnFormula>
    </tableColumn>
    <tableColumn id="2" xr3:uid="{00000000-0010-0000-0000-000002000000}" name="NORMA REFERÊNCIA:" dataDxfId="9">
      <calculatedColumnFormula>IFERROR(MID('Cálculo end'!L1,1,'Cálculo end'!F1-1),"")</calculatedColumnFormula>
    </tableColumn>
    <tableColumn id="8" xr3:uid="{00000000-0010-0000-0000-000008000000}" name="Nº CERTIFICADO:" dataDxfId="8">
      <calculatedColumnFormula>IFERROR(MID('Cálculo end'!L1,'Cálculo end'!H1+1,'Cálculo end'!I1-'Cálculo end'!H1-1),"")</calculatedColumnFormula>
    </tableColumn>
    <tableColumn id="3" xr3:uid="{00000000-0010-0000-0000-000003000000}" name="NÍVEL:" dataDxfId="7">
      <calculatedColumnFormula>IFERROR(MID('Cálculo end'!L1,'Cálculo end'!G1+1,'Cálculo end'!H1-'Cálculo end'!G1-1),"")</calculatedColumnFormula>
    </tableColumn>
    <tableColumn id="4" xr3:uid="{00000000-0010-0000-0000-000004000000}" name="VALIDADE CERTIFICADO:" dataDxfId="6">
      <calculatedColumnFormula>IFERROR(DATEVALUE(MID('Cálculo end'!L1,'Cálculo end'!I1+1,'Cálculo end'!J1-'Cálculo end'!I1-1)),"")</calculatedColumnFormula>
    </tableColumn>
    <tableColumn id="5" xr3:uid="{00000000-0010-0000-0000-000005000000}" name="OBSERVAÇÕES:" dataDxfId="5"/>
    <tableColumn id="11" xr3:uid="{00000000-0010-0000-0000-00000B000000}" name="CERTIFICADO:" dataDxfId="4">
      <calculatedColumnFormula>IF(Tabela1[[#This Row],[NOME:]]&lt;&gt;"",HYPERLINK(CONCATENATE('Cálculo end'!$C$1,"\",Tabela1[[#This Row],[TÉCNICA:]],"\",'Cálculo end'!L1),"Link Certificado"),"")</calculatedColumnFormula>
    </tableColumn>
    <tableColumn id="9" xr3:uid="{00000000-0010-0000-0000-000009000000}" name="RELATÓRIO ACUIDADE VISUAL:" dataDxfId="3">
      <calculatedColumnFormula>IF(Tabela1[[#This Row],[NOME:]]&lt;&gt;"",HYPERLINK(VLOOKUP(Tabela1[[#This Row],[NOME:]],'Cálculo Acuidade'!R:W,6,FALSE),"Link Acuidade"),"")</calculatedColumnFormula>
    </tableColumn>
    <tableColumn id="6" xr3:uid="{00000000-0010-0000-0000-000006000000}" name="VALIDADE ACUIDADE:" dataDxfId="2">
      <calculatedColumnFormula>IF(Tabela1[[#This Row],[NOME:]]&lt;&gt;"",DATEVALUE(CONCATENATE(VLOOKUP(Tabela1[[#This Row],[NOME:]],'Cálculo Acuidade'!R:U,2,FALSE),"-",VLOOKUP(Tabela1[[#This Row],[NOME:]],'Cálculo Acuidade'!R:U,4,FALSE))),"")</calculatedColumnFormula>
    </tableColumn>
  </tableColumns>
  <tableStyleInfo name="TableStyleMedium20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N101"/>
  <sheetViews>
    <sheetView tabSelected="1" zoomScaleNormal="100" workbookViewId="0">
      <pane ySplit="8" topLeftCell="A19" activePane="bottomLeft" state="frozen"/>
      <selection pane="bottomLeft" activeCell="L23" sqref="L22:L23"/>
    </sheetView>
  </sheetViews>
  <sheetFormatPr defaultRowHeight="15"/>
  <cols>
    <col min="1" max="1" width="34.28515625" customWidth="1"/>
    <col min="2" max="2" width="12" customWidth="1"/>
    <col min="3" max="3" width="15.5703125" customWidth="1"/>
    <col min="4" max="4" width="20" customWidth="1"/>
    <col min="5" max="5" width="10.28515625" customWidth="1"/>
    <col min="6" max="6" width="15.42578125" customWidth="1"/>
    <col min="7" max="7" width="19.140625" customWidth="1"/>
    <col min="8" max="8" width="18.7109375" customWidth="1"/>
    <col min="9" max="10" width="20.85546875" style="3" customWidth="1"/>
    <col min="12" max="12" width="12.42578125" bestFit="1" customWidth="1"/>
  </cols>
  <sheetData>
    <row r="1" spans="1:14" ht="15" customHeight="1">
      <c r="A1" s="53" t="s">
        <v>0</v>
      </c>
      <c r="B1" s="54"/>
      <c r="C1" s="54"/>
      <c r="D1" s="54"/>
      <c r="E1" s="54"/>
      <c r="F1" s="54"/>
      <c r="G1" s="54"/>
      <c r="H1" s="54"/>
      <c r="I1" s="54"/>
      <c r="J1" s="55"/>
      <c r="K1" s="1"/>
      <c r="L1" s="1"/>
      <c r="M1" s="1"/>
      <c r="N1" s="1"/>
    </row>
    <row r="2" spans="1:14" ht="15" customHeight="1">
      <c r="A2" s="56"/>
      <c r="B2" s="57"/>
      <c r="C2" s="57"/>
      <c r="D2" s="57"/>
      <c r="E2" s="57"/>
      <c r="F2" s="57"/>
      <c r="G2" s="57"/>
      <c r="H2" s="57"/>
      <c r="I2" s="57"/>
      <c r="J2" s="58"/>
      <c r="K2" s="1"/>
      <c r="L2" s="1"/>
      <c r="M2" s="1"/>
      <c r="N2" s="1"/>
    </row>
    <row r="3" spans="1:14" ht="15" customHeight="1">
      <c r="A3" s="56"/>
      <c r="B3" s="57"/>
      <c r="C3" s="57"/>
      <c r="D3" s="57"/>
      <c r="E3" s="57"/>
      <c r="F3" s="57"/>
      <c r="G3" s="57"/>
      <c r="H3" s="57"/>
      <c r="I3" s="57"/>
      <c r="J3" s="58"/>
      <c r="K3" s="1"/>
      <c r="L3" s="1"/>
      <c r="M3" s="1"/>
      <c r="N3" s="1"/>
    </row>
    <row r="4" spans="1:14" ht="15" customHeight="1">
      <c r="A4" s="56"/>
      <c r="B4" s="57"/>
      <c r="C4" s="57"/>
      <c r="D4" s="57"/>
      <c r="E4" s="57"/>
      <c r="F4" s="57"/>
      <c r="G4" s="57"/>
      <c r="H4" s="57"/>
      <c r="I4" s="57"/>
      <c r="J4" s="58"/>
      <c r="K4" s="1"/>
      <c r="L4" s="1"/>
      <c r="M4" s="1"/>
      <c r="N4" s="1"/>
    </row>
    <row r="5" spans="1:14" ht="15" customHeight="1">
      <c r="A5" s="59" t="s">
        <v>8</v>
      </c>
      <c r="B5" s="60"/>
      <c r="C5" s="60"/>
      <c r="D5" s="60"/>
      <c r="E5" s="60"/>
      <c r="F5" s="60"/>
      <c r="G5" s="60"/>
      <c r="H5" s="60"/>
      <c r="I5" s="60"/>
      <c r="J5" s="61"/>
      <c r="K5" s="2"/>
      <c r="L5" s="2"/>
      <c r="M5" s="2"/>
      <c r="N5" s="2"/>
    </row>
    <row r="6" spans="1:14" ht="15.75" customHeight="1" thickBot="1">
      <c r="A6" s="62"/>
      <c r="B6" s="63"/>
      <c r="C6" s="63"/>
      <c r="D6" s="63"/>
      <c r="E6" s="63"/>
      <c r="F6" s="63"/>
      <c r="G6" s="63"/>
      <c r="H6" s="63"/>
      <c r="I6" s="63"/>
      <c r="J6" s="64"/>
      <c r="K6" s="2"/>
      <c r="L6" s="2"/>
      <c r="M6" s="2"/>
      <c r="N6" s="2"/>
    </row>
    <row r="7" spans="1:14" ht="15.75" customHeight="1">
      <c r="A7" s="41"/>
      <c r="B7" s="49"/>
      <c r="C7" s="49"/>
      <c r="D7" s="49"/>
      <c r="E7" s="49"/>
      <c r="F7" s="49"/>
      <c r="G7" s="49"/>
      <c r="H7" s="49"/>
      <c r="I7" s="49"/>
      <c r="J7" s="42"/>
      <c r="K7" s="2"/>
      <c r="L7" s="2"/>
      <c r="M7" s="2"/>
      <c r="N7" s="2"/>
    </row>
    <row r="8" spans="1:14" ht="44.25" customHeight="1">
      <c r="A8" s="50" t="s">
        <v>2</v>
      </c>
      <c r="B8" s="51" t="s">
        <v>3</v>
      </c>
      <c r="C8" s="51" t="s">
        <v>4</v>
      </c>
      <c r="D8" s="51" t="s">
        <v>5</v>
      </c>
      <c r="E8" s="51" t="s">
        <v>6</v>
      </c>
      <c r="F8" s="51" t="s">
        <v>15</v>
      </c>
      <c r="G8" s="51" t="s">
        <v>1</v>
      </c>
      <c r="H8" s="51" t="s">
        <v>7</v>
      </c>
      <c r="I8" s="51" t="s">
        <v>14</v>
      </c>
      <c r="J8" s="52" t="s">
        <v>16</v>
      </c>
    </row>
    <row r="9" spans="1:14">
      <c r="A9" s="4" t="str">
        <f>IFERROR(MID('Cálculo end'!L1,'Cálculo end'!J1+1,LEN('Cálculo end'!L1)-'Cálculo end'!J1-4),"")</f>
        <v>Fernando Pinheiro da Costa</v>
      </c>
      <c r="B9" s="5" t="str">
        <f>IFERROR(MID('Cálculo end'!L1,'Cálculo end'!F1+1,'Cálculo end'!G1-'Cálculo end'!F1-1),"")</f>
        <v>MT</v>
      </c>
      <c r="C9" s="5" t="str">
        <f>IFERROR(MID('Cálculo end'!L1,1,'Cálculo end'!F1-1),"")</f>
        <v>ASNT</v>
      </c>
      <c r="D9" s="5" t="str">
        <f>IFERROR(MID('Cálculo end'!L1,'Cálculo end'!H1+1,'Cálculo end'!I1-'Cálculo end'!H1-1),"")</f>
        <v>03-005-NDT</v>
      </c>
      <c r="E9" s="5" t="str">
        <f>IFERROR(MID('Cálculo end'!L1,'Cálculo end'!G1+1,'Cálculo end'!H1-'Cálculo end'!G1-1),"")</f>
        <v>II</v>
      </c>
      <c r="F9" s="6">
        <f>IFERROR(DATEVALUE(MID('Cálculo end'!L1,'Cálculo end'!I1+1,'Cálculo end'!J1-'Cálculo end'!I1-1)),"")</f>
        <v>46404</v>
      </c>
      <c r="G9" s="7"/>
      <c r="H9" s="8" t="str">
        <f>IF(Tabela1[[#This Row],[NOME:]]&lt;&gt;"",HYPERLINK(CONCATENATE('Cálculo end'!$C$1,"\",Tabela1[[#This Row],[TÉCNICA:]],"\",'Cálculo end'!L1),"Link Certificado"),"")</f>
        <v>Link Certificado</v>
      </c>
      <c r="I9" s="9" t="str">
        <f>IF(Tabela1[[#This Row],[NOME:]]&lt;&gt;"",HYPERLINK(VLOOKUP(Tabela1[[#This Row],[NOME:]],'Cálculo Acuidade'!R:W,6,FALSE),"Link Acuidade"),"")</f>
        <v>Link Acuidade</v>
      </c>
      <c r="J9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0" spans="1:14">
      <c r="A10" s="4" t="str">
        <f>IFERROR(MID('Cálculo end'!L2,'Cálculo end'!J2+1,LEN('Cálculo end'!L2)-'Cálculo end'!J2-4),"")</f>
        <v>Ricardo Filipe Pina Freire</v>
      </c>
      <c r="B10" s="5" t="str">
        <f>IFERROR(MID('Cálculo end'!L2,'Cálculo end'!F2+1,'Cálculo end'!G2-'Cálculo end'!F2-1),"")</f>
        <v>MT</v>
      </c>
      <c r="C10" s="5" t="str">
        <f>IFERROR(MID('Cálculo end'!L2,1,'Cálculo end'!F2-1),"")</f>
        <v>ASNT</v>
      </c>
      <c r="D10" s="5" t="str">
        <f>IFERROR(MID('Cálculo end'!L2,'Cálculo end'!H2+1,'Cálculo end'!I2-'Cálculo end'!H2-1),"")</f>
        <v>03-006-NDT</v>
      </c>
      <c r="E10" s="5" t="str">
        <f>IFERROR(MID('Cálculo end'!L2,'Cálculo end'!G2+1,'Cálculo end'!H2-'Cálculo end'!G2-1),"")</f>
        <v>II</v>
      </c>
      <c r="F10" s="6">
        <f>IFERROR(DATEVALUE(MID('Cálculo end'!L2,'Cálculo end'!I2+1,'Cálculo end'!J2-'Cálculo end'!I2-1)),"")</f>
        <v>46404</v>
      </c>
      <c r="G10" s="7"/>
      <c r="H10" s="8" t="str">
        <f>IF(Tabela1[[#This Row],[NOME:]]&lt;&gt;"",HYPERLINK(CONCATENATE('Cálculo end'!$C$1,"\",Tabela1[[#This Row],[TÉCNICA:]],"\",'Cálculo end'!L2),"Link Certificado"),"")</f>
        <v>Link Certificado</v>
      </c>
      <c r="I10" s="9" t="str">
        <f>IF(Tabela1[[#This Row],[NOME:]]&lt;&gt;"",HYPERLINK(VLOOKUP(Tabela1[[#This Row],[NOME:]],'Cálculo Acuidade'!R:W,6,FALSE),"Link Acuidade"),"")</f>
        <v>Link Acuidade</v>
      </c>
      <c r="J10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1" spans="1:14">
      <c r="A11" s="4" t="str">
        <f>IFERROR(MID('Cálculo end'!L3,'Cálculo end'!J3+1,LEN('Cálculo end'!L3)-'Cálculo end'!J3-4),"")</f>
        <v>José Eduardo Martins Pinho</v>
      </c>
      <c r="B11" s="5" t="str">
        <f>IFERROR(MID('Cálculo end'!L3,'Cálculo end'!F3+1,'Cálculo end'!G3-'Cálculo end'!F3-1),"")</f>
        <v>MT</v>
      </c>
      <c r="C11" s="5" t="str">
        <f>IFERROR(MID('Cálculo end'!L3,1,'Cálculo end'!F3-1),"")</f>
        <v>ASNT</v>
      </c>
      <c r="D11" s="5" t="str">
        <f>IFERROR(MID('Cálculo end'!L3,'Cálculo end'!H3+1,'Cálculo end'!I3-'Cálculo end'!H3-1),"")</f>
        <v>23-023-NDT</v>
      </c>
      <c r="E11" s="5" t="str">
        <f>IFERROR(MID('Cálculo end'!L3,'Cálculo end'!G3+1,'Cálculo end'!H3-'Cálculo end'!G3-1),"")</f>
        <v>II</v>
      </c>
      <c r="F11" s="6">
        <f>IFERROR(DATEVALUE(MID('Cálculo end'!L3,'Cálculo end'!I3+1,'Cálculo end'!J3-'Cálculo end'!I3-1)),"")</f>
        <v>47003</v>
      </c>
      <c r="G11" s="7"/>
      <c r="H11" s="8" t="str">
        <f>IF(Tabela1[[#This Row],[NOME:]]&lt;&gt;"",HYPERLINK(CONCATENATE('Cálculo end'!$C$1,"\",Tabela1[[#This Row],[TÉCNICA:]],"\",'Cálculo end'!L3),"Link Certificado"),"")</f>
        <v>Link Certificado</v>
      </c>
      <c r="I11" s="9" t="str">
        <f>IF(Tabela1[[#This Row],[NOME:]]&lt;&gt;"",HYPERLINK(VLOOKUP(Tabela1[[#This Row],[NOME:]],'Cálculo Acuidade'!R:W,6,FALSE),"Link Acuidade"),"")</f>
        <v>Link Acuidade</v>
      </c>
      <c r="J11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2" spans="1:14">
      <c r="A12" s="4" t="str">
        <f>IFERROR(MID('Cálculo end'!L4,'Cálculo end'!J4+1,LEN('Cálculo end'!L4)-'Cálculo end'!J4-4),"")</f>
        <v>Francisco Manuel Conceição Oliveira</v>
      </c>
      <c r="B12" s="5" t="str">
        <f>IFERROR(MID('Cálculo end'!L4,'Cálculo end'!F4+1,'Cálculo end'!G4-'Cálculo end'!F4-1),"")</f>
        <v>MT</v>
      </c>
      <c r="C12" s="5" t="str">
        <f>IFERROR(MID('Cálculo end'!L4,1,'Cálculo end'!F4-1),"")</f>
        <v>ASNT</v>
      </c>
      <c r="D12" s="5" t="str">
        <f>IFERROR(MID('Cálculo end'!L4,'Cálculo end'!H4+1,'Cálculo end'!I4-'Cálculo end'!H4-1),"")</f>
        <v>23-024-NDT</v>
      </c>
      <c r="E12" s="5" t="str">
        <f>IFERROR(MID('Cálculo end'!L4,'Cálculo end'!G4+1,'Cálculo end'!H4-'Cálculo end'!G4-1),"")</f>
        <v>II</v>
      </c>
      <c r="F12" s="6">
        <f>IFERROR(DATEVALUE(MID('Cálculo end'!L4,'Cálculo end'!I4+1,'Cálculo end'!J4-'Cálculo end'!I4-1)),"")</f>
        <v>47003</v>
      </c>
      <c r="G12" s="7"/>
      <c r="H12" s="8" t="str">
        <f>IF(Tabela1[[#This Row],[NOME:]]&lt;&gt;"",HYPERLINK(CONCATENATE('Cálculo end'!$C$1,"\",Tabela1[[#This Row],[TÉCNICA:]],"\",'Cálculo end'!L4),"Link Certificado"),"")</f>
        <v>Link Certificado</v>
      </c>
      <c r="I12" s="9" t="str">
        <f>IF(Tabela1[[#This Row],[NOME:]]&lt;&gt;"",HYPERLINK(VLOOKUP(Tabela1[[#This Row],[NOME:]],'Cálculo Acuidade'!R:W,6,FALSE),"Link Acuidade"),"")</f>
        <v>Link Acuidade</v>
      </c>
      <c r="J12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3" spans="1:14">
      <c r="A13" s="4" t="str">
        <f>IFERROR(MID('Cálculo end'!L5,'Cálculo end'!J5+1,LEN('Cálculo end'!L5)-'Cálculo end'!J5-4),"")</f>
        <v>Fernando Miguel Pinho Fernandes</v>
      </c>
      <c r="B13" s="5" t="str">
        <f>IFERROR(MID('Cálculo end'!L5,'Cálculo end'!F5+1,'Cálculo end'!G5-'Cálculo end'!F5-1),"")</f>
        <v>MT</v>
      </c>
      <c r="C13" s="5" t="str">
        <f>IFERROR(MID('Cálculo end'!L5,1,'Cálculo end'!F5-1),"")</f>
        <v>ASNT</v>
      </c>
      <c r="D13" s="5" t="str">
        <f>IFERROR(MID('Cálculo end'!L5,'Cálculo end'!H5+1,'Cálculo end'!I5-'Cálculo end'!H5-1),"")</f>
        <v>23-025-NDT</v>
      </c>
      <c r="E13" s="5" t="str">
        <f>IFERROR(MID('Cálculo end'!L5,'Cálculo end'!G5+1,'Cálculo end'!H5-'Cálculo end'!G5-1),"")</f>
        <v>II</v>
      </c>
      <c r="F13" s="6">
        <f>IFERROR(DATEVALUE(MID('Cálculo end'!L5,'Cálculo end'!I5+1,'Cálculo end'!J5-'Cálculo end'!I5-1)),"")</f>
        <v>47003</v>
      </c>
      <c r="G13" s="7"/>
      <c r="H13" s="8" t="str">
        <f>IF(Tabela1[[#This Row],[NOME:]]&lt;&gt;"",HYPERLINK(CONCATENATE('Cálculo end'!$C$1,"\",Tabela1[[#This Row],[TÉCNICA:]],"\",'Cálculo end'!L5),"Link Certificado"),"")</f>
        <v>Link Certificado</v>
      </c>
      <c r="I13" s="9" t="str">
        <f>IF(Tabela1[[#This Row],[NOME:]]&lt;&gt;"",HYPERLINK(VLOOKUP(Tabela1[[#This Row],[NOME:]],'Cálculo Acuidade'!R:W,6,FALSE),"Link Acuidade"),"")</f>
        <v>Link Acuidade</v>
      </c>
      <c r="J13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4" spans="1:14">
      <c r="A14" s="4" t="str">
        <f>IFERROR(MID('Cálculo end'!L6,'Cálculo end'!J6+1,LEN('Cálculo end'!L6)-'Cálculo end'!J6-4),"")</f>
        <v>Fernando Miguel Pinho Fernandes</v>
      </c>
      <c r="B14" s="5" t="str">
        <f>IFERROR(MID('Cálculo end'!L6,'Cálculo end'!F6+1,'Cálculo end'!G6-'Cálculo end'!F6-1),"")</f>
        <v>MT</v>
      </c>
      <c r="C14" s="5" t="str">
        <f>IFERROR(MID('Cálculo end'!L6,1,'Cálculo end'!F6-1),"")</f>
        <v>EN ISO 9712</v>
      </c>
      <c r="D14" s="5" t="str">
        <f>IFERROR(MID('Cálculo end'!L6,'Cálculo end'!H6+1,'Cálculo end'!I6-'Cálculo end'!H6-1),"")</f>
        <v>23TO00452PN10</v>
      </c>
      <c r="E14" s="5" t="str">
        <f>IFERROR(MID('Cálculo end'!L6,'Cálculo end'!G6+1,'Cálculo end'!H6-'Cálculo end'!G6-1),"")</f>
        <v>II</v>
      </c>
      <c r="F14" s="6">
        <f>IFERROR(DATEVALUE(MID('Cálculo end'!L6,'Cálculo end'!I6+1,'Cálculo end'!J6-'Cálculo end'!I6-1)),"")</f>
        <v>46950</v>
      </c>
      <c r="G14" s="7"/>
      <c r="H14" s="8" t="str">
        <f>IF(Tabela1[[#This Row],[NOME:]]&lt;&gt;"",HYPERLINK(CONCATENATE('Cálculo end'!$C$1,"\",Tabela1[[#This Row],[TÉCNICA:]],"\",'Cálculo end'!L6),"Link Certificado"),"")</f>
        <v>Link Certificado</v>
      </c>
      <c r="I14" s="9" t="str">
        <f>IF(Tabela1[[#This Row],[NOME:]]&lt;&gt;"",HYPERLINK(VLOOKUP(Tabela1[[#This Row],[NOME:]],'Cálculo Acuidade'!R:W,6,FALSE),"Link Acuidade"),"")</f>
        <v>Link Acuidade</v>
      </c>
      <c r="J14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5" spans="1:14">
      <c r="A15" s="4" t="str">
        <f>IFERROR(MID('Cálculo end'!L7,'Cálculo end'!J7+1,LEN('Cálculo end'!L7)-'Cálculo end'!J7-4),"")</f>
        <v>Francisco Manuel Conceição Oliveira</v>
      </c>
      <c r="B15" s="5" t="str">
        <f>IFERROR(MID('Cálculo end'!L7,'Cálculo end'!F7+1,'Cálculo end'!G7-'Cálculo end'!F7-1),"")</f>
        <v>MT</v>
      </c>
      <c r="C15" s="5" t="str">
        <f>IFERROR(MID('Cálculo end'!L7,1,'Cálculo end'!F7-1),"")</f>
        <v>EN ISO 9712</v>
      </c>
      <c r="D15" s="5" t="str">
        <f>IFERROR(MID('Cálculo end'!L7,'Cálculo end'!H7+1,'Cálculo end'!I7-'Cálculo end'!H7-1),"")</f>
        <v>23TO00452PN7</v>
      </c>
      <c r="E15" s="5" t="str">
        <f>IFERROR(MID('Cálculo end'!L7,'Cálculo end'!G7+1,'Cálculo end'!H7-'Cálculo end'!G7-1),"")</f>
        <v>II</v>
      </c>
      <c r="F15" s="6">
        <f>IFERROR(DATEVALUE(MID('Cálculo end'!L7,'Cálculo end'!I7+1,'Cálculo end'!J7-'Cálculo end'!I7-1)),"")</f>
        <v>46950</v>
      </c>
      <c r="G15" s="7"/>
      <c r="H15" s="8" t="str">
        <f>IF(Tabela1[[#This Row],[NOME:]]&lt;&gt;"",HYPERLINK(CONCATENATE('Cálculo end'!$C$1,"\",Tabela1[[#This Row],[TÉCNICA:]],"\",'Cálculo end'!L7),"Link Certificado"),"")</f>
        <v>Link Certificado</v>
      </c>
      <c r="I15" s="9" t="str">
        <f>IF(Tabela1[[#This Row],[NOME:]]&lt;&gt;"",HYPERLINK(VLOOKUP(Tabela1[[#This Row],[NOME:]],'Cálculo Acuidade'!R:W,6,FALSE),"Link Acuidade"),"")</f>
        <v>Link Acuidade</v>
      </c>
      <c r="J15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6" spans="1:14">
      <c r="A16" s="4" t="str">
        <f>IFERROR(MID('Cálculo end'!L8,'Cálculo end'!J8+1,LEN('Cálculo end'!L8)-'Cálculo end'!J8-4),"")</f>
        <v>José Eduardo Martins Pinho</v>
      </c>
      <c r="B16" s="5" t="str">
        <f>IFERROR(MID('Cálculo end'!L8,'Cálculo end'!F8+1,'Cálculo end'!G8-'Cálculo end'!F8-1),"")</f>
        <v>MT</v>
      </c>
      <c r="C16" s="5" t="str">
        <f>IFERROR(MID('Cálculo end'!L8,1,'Cálculo end'!F8-1),"")</f>
        <v>EN ISO 9712</v>
      </c>
      <c r="D16" s="5" t="str">
        <f>IFERROR(MID('Cálculo end'!L8,'Cálculo end'!H8+1,'Cálculo end'!I8-'Cálculo end'!H8-1),"")</f>
        <v>23TO00452PN9</v>
      </c>
      <c r="E16" s="5" t="str">
        <f>IFERROR(MID('Cálculo end'!L8,'Cálculo end'!G8+1,'Cálculo end'!H8-'Cálculo end'!G8-1),"")</f>
        <v>II</v>
      </c>
      <c r="F16" s="6">
        <f>IFERROR(DATEVALUE(MID('Cálculo end'!L8,'Cálculo end'!I8+1,'Cálculo end'!J8-'Cálculo end'!I8-1)),"")</f>
        <v>46950</v>
      </c>
      <c r="G16" s="7"/>
      <c r="H16" s="8" t="str">
        <f>IF(Tabela1[[#This Row],[NOME:]]&lt;&gt;"",HYPERLINK(CONCATENATE('Cálculo end'!$C$1,"\",Tabela1[[#This Row],[TÉCNICA:]],"\",'Cálculo end'!L8),"Link Certificado"),"")</f>
        <v>Link Certificado</v>
      </c>
      <c r="I16" s="9" t="str">
        <f>IF(Tabela1[[#This Row],[NOME:]]&lt;&gt;"",HYPERLINK(VLOOKUP(Tabela1[[#This Row],[NOME:]],'Cálculo Acuidade'!R:W,6,FALSE),"Link Acuidade"),"")</f>
        <v>Link Acuidade</v>
      </c>
      <c r="J16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7" spans="1:10">
      <c r="A17" s="4" t="str">
        <f>IFERROR(MID('Cálculo end'!L9,'Cálculo end'!J9+1,LEN('Cálculo end'!L9)-'Cálculo end'!J9-4),"")</f>
        <v>Fernando Pinheiro da Costa</v>
      </c>
      <c r="B17" s="5" t="str">
        <f>IFERROR(MID('Cálculo end'!L9,'Cálculo end'!F9+1,'Cálculo end'!G9-'Cálculo end'!F9-1),"")</f>
        <v>MT</v>
      </c>
      <c r="C17" s="5" t="str">
        <f>IFERROR(MID('Cálculo end'!L9,1,'Cálculo end'!F9-1),"")</f>
        <v>EN ISO 9712</v>
      </c>
      <c r="D17" s="5" t="str">
        <f>IFERROR(MID('Cálculo end'!L9,'Cálculo end'!H9+1,'Cálculo end'!I9-'Cálculo end'!H9-1),"")</f>
        <v>END-461</v>
      </c>
      <c r="E17" s="5" t="str">
        <f>IFERROR(MID('Cálculo end'!L9,'Cálculo end'!G9+1,'Cálculo end'!H9-'Cálculo end'!G9-1),"")</f>
        <v>II</v>
      </c>
      <c r="F17" s="6">
        <f>IFERROR(DATEVALUE(MID('Cálculo end'!L9,'Cálculo end'!I9+1,'Cálculo end'!J9-'Cálculo end'!I9-1)),"")</f>
        <v>45854</v>
      </c>
      <c r="G17" s="7"/>
      <c r="H17" s="8" t="str">
        <f>IF(Tabela1[[#This Row],[NOME:]]&lt;&gt;"",HYPERLINK(CONCATENATE('Cálculo end'!$C$1,"\",Tabela1[[#This Row],[TÉCNICA:]],"\",'Cálculo end'!L9),"Link Certificado"),"")</f>
        <v>Link Certificado</v>
      </c>
      <c r="I17" s="9" t="str">
        <f>IF(Tabela1[[#This Row],[NOME:]]&lt;&gt;"",HYPERLINK(VLOOKUP(Tabela1[[#This Row],[NOME:]],'Cálculo Acuidade'!R:W,6,FALSE),"Link Acuidade"),"")</f>
        <v>Link Acuidade</v>
      </c>
      <c r="J17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8" spans="1:10">
      <c r="A18" s="4" t="str">
        <f>IFERROR(MID('Cálculo end'!L10,'Cálculo end'!J10+1,LEN('Cálculo end'!L10)-'Cálculo end'!J10-4),"")</f>
        <v>Francisco José Pereira Fernandes</v>
      </c>
      <c r="B18" s="5" t="str">
        <f>IFERROR(MID('Cálculo end'!L10,'Cálculo end'!F10+1,'Cálculo end'!G10-'Cálculo end'!F10-1),"")</f>
        <v>MT</v>
      </c>
      <c r="C18" s="5" t="str">
        <f>IFERROR(MID('Cálculo end'!L10,1,'Cálculo end'!F10-1),"")</f>
        <v>EN ISO 9712</v>
      </c>
      <c r="D18" s="5" t="str">
        <f>IFERROR(MID('Cálculo end'!L10,'Cálculo end'!H10+1,'Cálculo end'!I10-'Cálculo end'!H10-1),"")</f>
        <v>END-800</v>
      </c>
      <c r="E18" s="5" t="str">
        <f>IFERROR(MID('Cálculo end'!L10,'Cálculo end'!G10+1,'Cálculo end'!H10-'Cálculo end'!G10-1),"")</f>
        <v>II</v>
      </c>
      <c r="F18" s="6">
        <f>IFERROR(DATEVALUE(MID('Cálculo end'!L10,'Cálculo end'!I10+1,'Cálculo end'!J10-'Cálculo end'!I10-1)),"")</f>
        <v>46818</v>
      </c>
      <c r="G18" s="7"/>
      <c r="H18" s="8" t="str">
        <f>IF(Tabela1[[#This Row],[NOME:]]&lt;&gt;"",HYPERLINK(CONCATENATE('Cálculo end'!$C$1,"\",Tabela1[[#This Row],[TÉCNICA:]],"\",'Cálculo end'!L10),"Link Certificado"),"")</f>
        <v>Link Certificado</v>
      </c>
      <c r="I18" s="9" t="str">
        <f>IF(Tabela1[[#This Row],[NOME:]]&lt;&gt;"",HYPERLINK(VLOOKUP(Tabela1[[#This Row],[NOME:]],'Cálculo Acuidade'!R:W,6,FALSE),"Link Acuidade"),"")</f>
        <v>Link Acuidade</v>
      </c>
      <c r="J18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19" spans="1:10">
      <c r="A19" s="4" t="str">
        <f>IFERROR(MID('Cálculo end'!L11,'Cálculo end'!J11+1,LEN('Cálculo end'!L11)-'Cálculo end'!J11-4),"")</f>
        <v>Ricardo Filipe Pina Freire</v>
      </c>
      <c r="B19" s="5" t="str">
        <f>IFERROR(MID('Cálculo end'!L11,'Cálculo end'!F11+1,'Cálculo end'!G11-'Cálculo end'!F11-1),"")</f>
        <v>MT</v>
      </c>
      <c r="C19" s="5" t="str">
        <f>IFERROR(MID('Cálculo end'!L11,1,'Cálculo end'!F11-1),"")</f>
        <v>EN ISO 9712</v>
      </c>
      <c r="D19" s="5" t="str">
        <f>IFERROR(MID('Cálculo end'!L11,'Cálculo end'!H11+1,'Cálculo end'!I11-'Cálculo end'!H11-1),"")</f>
        <v>END-801</v>
      </c>
      <c r="E19" s="5" t="str">
        <f>IFERROR(MID('Cálculo end'!L11,'Cálculo end'!G11+1,'Cálculo end'!H11-'Cálculo end'!G11-1),"")</f>
        <v>II</v>
      </c>
      <c r="F19" s="6">
        <f>IFERROR(DATEVALUE(MID('Cálculo end'!L11,'Cálculo end'!I11+1,'Cálculo end'!J11-'Cálculo end'!I11-1)),"")</f>
        <v>46818</v>
      </c>
      <c r="G19" s="7"/>
      <c r="H19" s="8" t="str">
        <f>IF(Tabela1[[#This Row],[NOME:]]&lt;&gt;"",HYPERLINK(CONCATENATE('Cálculo end'!$C$1,"\",Tabela1[[#This Row],[TÉCNICA:]],"\",'Cálculo end'!L11),"Link Certificado"),"")</f>
        <v>Link Certificado</v>
      </c>
      <c r="I19" s="9" t="str">
        <f>IF(Tabela1[[#This Row],[NOME:]]&lt;&gt;"",HYPERLINK(VLOOKUP(Tabela1[[#This Row],[NOME:]],'Cálculo Acuidade'!R:W,6,FALSE),"Link Acuidade"),"")</f>
        <v>Link Acuidade</v>
      </c>
      <c r="J19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0" spans="1:10">
      <c r="A20" s="4" t="str">
        <f>IFERROR(MID('Cálculo end'!L12,'Cálculo end'!J12+1,LEN('Cálculo end'!L12)-'Cálculo end'!J12-4),"")</f>
        <v>Bruno Filipe Correia Silva</v>
      </c>
      <c r="B20" s="5" t="str">
        <f>IFERROR(MID('Cálculo end'!L12,'Cálculo end'!F12+1,'Cálculo end'!G12-'Cálculo end'!F12-1),"")</f>
        <v>MT</v>
      </c>
      <c r="C20" s="5" t="str">
        <f>IFERROR(MID('Cálculo end'!L12,1,'Cálculo end'!F12-1),"")</f>
        <v>EN ISO 9712</v>
      </c>
      <c r="D20" s="5" t="str">
        <f>IFERROR(MID('Cálculo end'!L12,'Cálculo end'!H12+1,'Cálculo end'!I12-'Cálculo end'!H12-1),"")</f>
        <v>END-802</v>
      </c>
      <c r="E20" s="5" t="str">
        <f>IFERROR(MID('Cálculo end'!L12,'Cálculo end'!G12+1,'Cálculo end'!H12-'Cálculo end'!G12-1),"")</f>
        <v>II</v>
      </c>
      <c r="F20" s="6">
        <f>IFERROR(DATEVALUE(MID('Cálculo end'!L12,'Cálculo end'!I12+1,'Cálculo end'!J12-'Cálculo end'!I12-1)),"")</f>
        <v>46818</v>
      </c>
      <c r="G20" s="7"/>
      <c r="H20" s="8" t="str">
        <f>IF(Tabela1[[#This Row],[NOME:]]&lt;&gt;"",HYPERLINK(CONCATENATE('Cálculo end'!$C$1,"\",Tabela1[[#This Row],[TÉCNICA:]],"\",'Cálculo end'!L12),"Link Certificado"),"")</f>
        <v>Link Certificado</v>
      </c>
      <c r="I20" s="9" t="str">
        <f>IF(Tabela1[[#This Row],[NOME:]]&lt;&gt;"",HYPERLINK(VLOOKUP(Tabela1[[#This Row],[NOME:]],'Cálculo Acuidade'!R:W,6,FALSE),"Link Acuidade"),"")</f>
        <v>Link Acuidade</v>
      </c>
      <c r="J20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1" spans="1:10">
      <c r="A21" s="4" t="str">
        <f>IFERROR(MID('Cálculo end'!L13,'Cálculo end'!J13+1,LEN('Cálculo end'!L13)-'Cálculo end'!J13-4),"")</f>
        <v>Fernando Pinheiro da Costa</v>
      </c>
      <c r="B21" s="5" t="str">
        <f>IFERROR(MID('Cálculo end'!L13,'Cálculo end'!F13+1,'Cálculo end'!G13-'Cálculo end'!F13-1),"")</f>
        <v>PT</v>
      </c>
      <c r="C21" s="5" t="str">
        <f>IFERROR(MID('Cálculo end'!L13,1,'Cálculo end'!F13-1),"")</f>
        <v>ASNT</v>
      </c>
      <c r="D21" s="5" t="str">
        <f>IFERROR(MID('Cálculo end'!L13,'Cálculo end'!H13+1,'Cálculo end'!I13-'Cálculo end'!H13-1),"")</f>
        <v>04-007-NDT</v>
      </c>
      <c r="E21" s="5" t="str">
        <f>IFERROR(MID('Cálculo end'!L13,'Cálculo end'!G13+1,'Cálculo end'!H13-'Cálculo end'!G13-1),"")</f>
        <v>II</v>
      </c>
      <c r="F21" s="6">
        <f>IFERROR(DATEVALUE(MID('Cálculo end'!L13,'Cálculo end'!I13+1,'Cálculo end'!J13-'Cálculo end'!I13-1)),"")</f>
        <v>46708</v>
      </c>
      <c r="G21" s="7"/>
      <c r="H21" s="8" t="str">
        <f>IF(Tabela1[[#This Row],[NOME:]]&lt;&gt;"",HYPERLINK(CONCATENATE('Cálculo end'!$C$1,"\",Tabela1[[#This Row],[TÉCNICA:]],"\",'Cálculo end'!L13),"Link Certificado"),"")</f>
        <v>Link Certificado</v>
      </c>
      <c r="I21" s="9" t="str">
        <f>IF(Tabela1[[#This Row],[NOME:]]&lt;&gt;"",HYPERLINK(VLOOKUP(Tabela1[[#This Row],[NOME:]],'Cálculo Acuidade'!R:W,6,FALSE),"Link Acuidade"),"")</f>
        <v>Link Acuidade</v>
      </c>
      <c r="J21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2" spans="1:10">
      <c r="A22" s="4" t="str">
        <f>IFERROR(MID('Cálculo end'!L14,'Cálculo end'!J14+1,LEN('Cálculo end'!L14)-'Cálculo end'!J14-4),"")</f>
        <v>Fernando Jorge Rodrigues Nogueira</v>
      </c>
      <c r="B22" s="5" t="str">
        <f>IFERROR(MID('Cálculo end'!L14,'Cálculo end'!F14+1,'Cálculo end'!G14-'Cálculo end'!F14-1),"")</f>
        <v>PT</v>
      </c>
      <c r="C22" s="5" t="str">
        <f>IFERROR(MID('Cálculo end'!L14,1,'Cálculo end'!F14-1),"")</f>
        <v>ASNT</v>
      </c>
      <c r="D22" s="5" t="str">
        <f>IFERROR(MID('Cálculo end'!L14,'Cálculo end'!H14+1,'Cálculo end'!I14-'Cálculo end'!H14-1),"")</f>
        <v>04-008-NDT</v>
      </c>
      <c r="E22" s="5" t="str">
        <f>IFERROR(MID('Cálculo end'!L14,'Cálculo end'!G14+1,'Cálculo end'!H14-'Cálculo end'!G14-1),"")</f>
        <v>II</v>
      </c>
      <c r="F22" s="6">
        <f>IFERROR(DATEVALUE(MID('Cálculo end'!L14,'Cálculo end'!I14+1,'Cálculo end'!J14-'Cálculo end'!I14-1)),"")</f>
        <v>46708</v>
      </c>
      <c r="G22" s="7"/>
      <c r="H22" s="8" t="str">
        <f>IF(Tabela1[[#This Row],[NOME:]]&lt;&gt;"",HYPERLINK(CONCATENATE('Cálculo end'!$C$1,"\",Tabela1[[#This Row],[TÉCNICA:]],"\",'Cálculo end'!L14),"Link Certificado"),"")</f>
        <v>Link Certificado</v>
      </c>
      <c r="I22" s="9" t="str">
        <f>IF(Tabela1[[#This Row],[NOME:]]&lt;&gt;"",HYPERLINK(VLOOKUP(Tabela1[[#This Row],[NOME:]],'Cálculo Acuidade'!R:W,6,FALSE),"Link Acuidade"),"")</f>
        <v>Link Acuidade</v>
      </c>
      <c r="J22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3" spans="1:10">
      <c r="A23" s="4" t="str">
        <f>IFERROR(MID('Cálculo end'!L15,'Cálculo end'!J15+1,LEN('Cálculo end'!L15)-'Cálculo end'!J15-4),"")</f>
        <v>José Soares Ferreira</v>
      </c>
      <c r="B23" s="5" t="str">
        <f>IFERROR(MID('Cálculo end'!L15,'Cálculo end'!F15+1,'Cálculo end'!G15-'Cálculo end'!F15-1),"")</f>
        <v>PT</v>
      </c>
      <c r="C23" s="5" t="str">
        <f>IFERROR(MID('Cálculo end'!L15,1,'Cálculo end'!F15-1),"")</f>
        <v>ASNT</v>
      </c>
      <c r="D23" s="5" t="str">
        <f>IFERROR(MID('Cálculo end'!L15,'Cálculo end'!H15+1,'Cálculo end'!I15-'Cálculo end'!H15-1),"")</f>
        <v>04-009-NDT</v>
      </c>
      <c r="E23" s="5" t="str">
        <f>IFERROR(MID('Cálculo end'!L15,'Cálculo end'!G15+1,'Cálculo end'!H15-'Cálculo end'!G15-1),"")</f>
        <v>II</v>
      </c>
      <c r="F23" s="6">
        <f>IFERROR(DATEVALUE(MID('Cálculo end'!L15,'Cálculo end'!I15+1,'Cálculo end'!J15-'Cálculo end'!I15-1)),"")</f>
        <v>46708</v>
      </c>
      <c r="G23" s="7"/>
      <c r="H23" s="8" t="str">
        <f>IF(Tabela1[[#This Row],[NOME:]]&lt;&gt;"",HYPERLINK(CONCATENATE('Cálculo end'!$C$1,"\",Tabela1[[#This Row],[TÉCNICA:]],"\",'Cálculo end'!L15),"Link Certificado"),"")</f>
        <v>Link Certificado</v>
      </c>
      <c r="I23" s="9" t="str">
        <f>IF(Tabela1[[#This Row],[NOME:]]&lt;&gt;"",HYPERLINK(VLOOKUP(Tabela1[[#This Row],[NOME:]],'Cálculo Acuidade'!R:W,6,FALSE),"Link Acuidade"),"")</f>
        <v>Link Acuidade</v>
      </c>
      <c r="J23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4" spans="1:10">
      <c r="A24" s="4" t="str">
        <f>IFERROR(MID('Cálculo end'!L16,'Cálculo end'!J16+1,LEN('Cálculo end'!L16)-'Cálculo end'!J16-4),"")</f>
        <v>Bruno Filipe Correia Silva</v>
      </c>
      <c r="B24" s="5" t="str">
        <f>IFERROR(MID('Cálculo end'!L16,'Cálculo end'!F16+1,'Cálculo end'!G16-'Cálculo end'!F16-1),"")</f>
        <v>PT</v>
      </c>
      <c r="C24" s="5" t="str">
        <f>IFERROR(MID('Cálculo end'!L16,1,'Cálculo end'!F16-1),"")</f>
        <v>ASNT</v>
      </c>
      <c r="D24" s="5" t="str">
        <f>IFERROR(MID('Cálculo end'!L16,'Cálculo end'!H16+1,'Cálculo end'!I16-'Cálculo end'!H16-1),"")</f>
        <v>07-017-NDT</v>
      </c>
      <c r="E24" s="5" t="str">
        <f>IFERROR(MID('Cálculo end'!L16,'Cálculo end'!G16+1,'Cálculo end'!H16-'Cálculo end'!G16-1),"")</f>
        <v>II</v>
      </c>
      <c r="F24" s="6">
        <f>IFERROR(DATEVALUE(MID('Cálculo end'!L16,'Cálculo end'!I16+1,'Cálculo end'!J16-'Cálculo end'!I16-1)),"")</f>
        <v>46708</v>
      </c>
      <c r="G24" s="7"/>
      <c r="H24" s="8" t="str">
        <f>IF(Tabela1[[#This Row],[NOME:]]&lt;&gt;"",HYPERLINK(CONCATENATE('Cálculo end'!$C$1,"\",Tabela1[[#This Row],[TÉCNICA:]],"\",'Cálculo end'!L16),"Link Certificado"),"")</f>
        <v>Link Certificado</v>
      </c>
      <c r="I24" s="9" t="str">
        <f>IF(Tabela1[[#This Row],[NOME:]]&lt;&gt;"",HYPERLINK(VLOOKUP(Tabela1[[#This Row],[NOME:]],'Cálculo Acuidade'!R:W,6,FALSE),"Link Acuidade"),"")</f>
        <v>Link Acuidade</v>
      </c>
      <c r="J24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5" spans="1:10">
      <c r="A25" s="4" t="str">
        <f>IFERROR(MID('Cálculo end'!L17,'Cálculo end'!J17+1,LEN('Cálculo end'!L17)-'Cálculo end'!J17-4),"")</f>
        <v>Francisco José Pereira Fernandes</v>
      </c>
      <c r="B25" s="5" t="str">
        <f>IFERROR(MID('Cálculo end'!L17,'Cálculo end'!F17+1,'Cálculo end'!G17-'Cálculo end'!F17-1),"")</f>
        <v>PT</v>
      </c>
      <c r="C25" s="5" t="str">
        <f>IFERROR(MID('Cálculo end'!L17,1,'Cálculo end'!F17-1),"")</f>
        <v>ASNT</v>
      </c>
      <c r="D25" s="5" t="str">
        <f>IFERROR(MID('Cálculo end'!L17,'Cálculo end'!H17+1,'Cálculo end'!I17-'Cálculo end'!H17-1),"")</f>
        <v>22-019-NDT</v>
      </c>
      <c r="E25" s="5" t="str">
        <f>IFERROR(MID('Cálculo end'!L17,'Cálculo end'!G17+1,'Cálculo end'!H17-'Cálculo end'!G17-1),"")</f>
        <v>II</v>
      </c>
      <c r="F25" s="6">
        <f>IFERROR(DATEVALUE(MID('Cálculo end'!L17,'Cálculo end'!I17+1,'Cálculo end'!J17-'Cálculo end'!I17-1)),"")</f>
        <v>46464</v>
      </c>
      <c r="G25" s="7"/>
      <c r="H25" s="8" t="str">
        <f>IF(Tabela1[[#This Row],[NOME:]]&lt;&gt;"",HYPERLINK(CONCATENATE('Cálculo end'!$C$1,"\",Tabela1[[#This Row],[TÉCNICA:]],"\",'Cálculo end'!L17),"Link Certificado"),"")</f>
        <v>Link Certificado</v>
      </c>
      <c r="I25" s="9" t="str">
        <f>IF(Tabela1[[#This Row],[NOME:]]&lt;&gt;"",HYPERLINK(VLOOKUP(Tabela1[[#This Row],[NOME:]],'Cálculo Acuidade'!R:W,6,FALSE),"Link Acuidade"),"")</f>
        <v>Link Acuidade</v>
      </c>
      <c r="J25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6" spans="1:10">
      <c r="A26" s="4" t="str">
        <f>IFERROR(MID('Cálculo end'!L18,'Cálculo end'!J18+1,LEN('Cálculo end'!L18)-'Cálculo end'!J18-4),"")</f>
        <v>Fernando Miguel Pinho Fernandes</v>
      </c>
      <c r="B26" s="5" t="str">
        <f>IFERROR(MID('Cálculo end'!L18,'Cálculo end'!F18+1,'Cálculo end'!G18-'Cálculo end'!F18-1),"")</f>
        <v>PT</v>
      </c>
      <c r="C26" s="5" t="str">
        <f>IFERROR(MID('Cálculo end'!L18,1,'Cálculo end'!F18-1),"")</f>
        <v>ASNT</v>
      </c>
      <c r="D26" s="5" t="str">
        <f>IFERROR(MID('Cálculo end'!L18,'Cálculo end'!H18+1,'Cálculo end'!I18-'Cálculo end'!H18-1),"")</f>
        <v>22-020-NDT</v>
      </c>
      <c r="E26" s="5" t="str">
        <f>IFERROR(MID('Cálculo end'!L18,'Cálculo end'!G18+1,'Cálculo end'!H18-'Cálculo end'!G18-1),"")</f>
        <v>II</v>
      </c>
      <c r="F26" s="6">
        <f>IFERROR(DATEVALUE(MID('Cálculo end'!L18,'Cálculo end'!I18+1,'Cálculo end'!J18-'Cálculo end'!I18-1)),"")</f>
        <v>46464</v>
      </c>
      <c r="G26" s="7"/>
      <c r="H26" s="8" t="str">
        <f>IF(Tabela1[[#This Row],[NOME:]]&lt;&gt;"",HYPERLINK(CONCATENATE('Cálculo end'!$C$1,"\",Tabela1[[#This Row],[TÉCNICA:]],"\",'Cálculo end'!L18),"Link Certificado"),"")</f>
        <v>Link Certificado</v>
      </c>
      <c r="I26" s="9" t="str">
        <f>IF(Tabela1[[#This Row],[NOME:]]&lt;&gt;"",HYPERLINK(VLOOKUP(Tabela1[[#This Row],[NOME:]],'Cálculo Acuidade'!R:W,6,FALSE),"Link Acuidade"),"")</f>
        <v>Link Acuidade</v>
      </c>
      <c r="J26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7" spans="1:10">
      <c r="A27" s="4" t="str">
        <f>IFERROR(MID('Cálculo end'!L19,'Cálculo end'!J19+1,LEN('Cálculo end'!L19)-'Cálculo end'!J19-4),"")</f>
        <v>José Eduardo Martins Pinho</v>
      </c>
      <c r="B27" s="5" t="str">
        <f>IFERROR(MID('Cálculo end'!L19,'Cálculo end'!F19+1,'Cálculo end'!G19-'Cálculo end'!F19-1),"")</f>
        <v>PT</v>
      </c>
      <c r="C27" s="5" t="str">
        <f>IFERROR(MID('Cálculo end'!L19,1,'Cálculo end'!F19-1),"")</f>
        <v>ASNT</v>
      </c>
      <c r="D27" s="5" t="str">
        <f>IFERROR(MID('Cálculo end'!L19,'Cálculo end'!H19+1,'Cálculo end'!I19-'Cálculo end'!H19-1),"")</f>
        <v>22-021-NDT</v>
      </c>
      <c r="E27" s="5" t="str">
        <f>IFERROR(MID('Cálculo end'!L19,'Cálculo end'!G19+1,'Cálculo end'!H19-'Cálculo end'!G19-1),"")</f>
        <v>II</v>
      </c>
      <c r="F27" s="6">
        <f>IFERROR(DATEVALUE(MID('Cálculo end'!L19,'Cálculo end'!I19+1,'Cálculo end'!J19-'Cálculo end'!I19-1)),"")</f>
        <v>46464</v>
      </c>
      <c r="G27" s="7"/>
      <c r="H27" s="8" t="str">
        <f>IF(Tabela1[[#This Row],[NOME:]]&lt;&gt;"",HYPERLINK(CONCATENATE('Cálculo end'!$C$1,"\",Tabela1[[#This Row],[TÉCNICA:]],"\",'Cálculo end'!L19),"Link Certificado"),"")</f>
        <v>Link Certificado</v>
      </c>
      <c r="I27" s="9" t="str">
        <f>IF(Tabela1[[#This Row],[NOME:]]&lt;&gt;"",HYPERLINK(VLOOKUP(Tabela1[[#This Row],[NOME:]],'Cálculo Acuidade'!R:W,6,FALSE),"Link Acuidade"),"")</f>
        <v>Link Acuidade</v>
      </c>
      <c r="J27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8" spans="1:10">
      <c r="A28" s="4" t="str">
        <f>IFERROR(MID('Cálculo end'!L20,'Cálculo end'!J20+1,LEN('Cálculo end'!L20)-'Cálculo end'!J20-4),"")</f>
        <v>Marcelo Filipe Ferreira Pinto</v>
      </c>
      <c r="B28" s="5" t="str">
        <f>IFERROR(MID('Cálculo end'!L20,'Cálculo end'!F20+1,'Cálculo end'!G20-'Cálculo end'!F20-1),"")</f>
        <v>PT</v>
      </c>
      <c r="C28" s="5" t="str">
        <f>IFERROR(MID('Cálculo end'!L20,1,'Cálculo end'!F20-1),"")</f>
        <v>ASNT</v>
      </c>
      <c r="D28" s="5" t="str">
        <f>IFERROR(MID('Cálculo end'!L20,'Cálculo end'!H20+1,'Cálculo end'!I20-'Cálculo end'!H20-1),"")</f>
        <v>22-022-NDT</v>
      </c>
      <c r="E28" s="5" t="str">
        <f>IFERROR(MID('Cálculo end'!L20,'Cálculo end'!G20+1,'Cálculo end'!H20-'Cálculo end'!G20-1),"")</f>
        <v>II</v>
      </c>
      <c r="F28" s="6">
        <f>IFERROR(DATEVALUE(MID('Cálculo end'!L20,'Cálculo end'!I20+1,'Cálculo end'!J20-'Cálculo end'!I20-1)),"")</f>
        <v>46464</v>
      </c>
      <c r="G28" s="7"/>
      <c r="H28" s="8" t="str">
        <f>IF(Tabela1[[#This Row],[NOME:]]&lt;&gt;"",HYPERLINK(CONCATENATE('Cálculo end'!$C$1,"\",Tabela1[[#This Row],[TÉCNICA:]],"\",'Cálculo end'!L20),"Link Certificado"),"")</f>
        <v>Link Certificado</v>
      </c>
      <c r="I28" s="9" t="str">
        <f>IF(Tabela1[[#This Row],[NOME:]]&lt;&gt;"",HYPERLINK(VLOOKUP(Tabela1[[#This Row],[NOME:]],'Cálculo Acuidade'!R:W,6,FALSE),"Link Acuidade"),"")</f>
        <v>Link Acuidade</v>
      </c>
      <c r="J28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29" spans="1:10">
      <c r="A29" s="4" t="str">
        <f>IFERROR(MID('Cálculo end'!L21,'Cálculo end'!J21+1,LEN('Cálculo end'!L21)-'Cálculo end'!J21-4),"")</f>
        <v>Fernando Miguel Pinho Fernandes</v>
      </c>
      <c r="B29" s="5" t="str">
        <f>IFERROR(MID('Cálculo end'!L21,'Cálculo end'!F21+1,'Cálculo end'!G21-'Cálculo end'!F21-1),"")</f>
        <v>PT</v>
      </c>
      <c r="C29" s="5" t="str">
        <f>IFERROR(MID('Cálculo end'!L21,1,'Cálculo end'!F21-1),"")</f>
        <v>EN ISO 9712</v>
      </c>
      <c r="D29" s="5" t="str">
        <f>IFERROR(MID('Cálculo end'!L21,'Cálculo end'!H21+1,'Cálculo end'!I21-'Cálculo end'!H21-1),"")</f>
        <v>END-1472</v>
      </c>
      <c r="E29" s="5" t="str">
        <f>IFERROR(MID('Cálculo end'!L21,'Cálculo end'!G21+1,'Cálculo end'!H21-'Cálculo end'!G21-1),"")</f>
        <v>II</v>
      </c>
      <c r="F29" s="6">
        <f>IFERROR(DATEVALUE(MID('Cálculo end'!L21,'Cálculo end'!I21+1,'Cálculo end'!J21-'Cálculo end'!I21-1)),"")</f>
        <v>45346</v>
      </c>
      <c r="G29" s="7"/>
      <c r="H29" s="8" t="str">
        <f>IF(Tabela1[[#This Row],[NOME:]]&lt;&gt;"",HYPERLINK(CONCATENATE('Cálculo end'!$C$1,"\",Tabela1[[#This Row],[TÉCNICA:]],"\",'Cálculo end'!L21),"Link Certificado"),"")</f>
        <v>Link Certificado</v>
      </c>
      <c r="I29" s="9" t="str">
        <f>IF(Tabela1[[#This Row],[NOME:]]&lt;&gt;"",HYPERLINK(VLOOKUP(Tabela1[[#This Row],[NOME:]],'Cálculo Acuidade'!R:W,6,FALSE),"Link Acuidade"),"")</f>
        <v>Link Acuidade</v>
      </c>
      <c r="J29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0" spans="1:10">
      <c r="A30" s="4" t="str">
        <f>IFERROR(MID('Cálculo end'!L22,'Cálculo end'!J22+1,LEN('Cálculo end'!L22)-'Cálculo end'!J22-4),"")</f>
        <v>José Eduardo Martins Pinho</v>
      </c>
      <c r="B30" s="5" t="str">
        <f>IFERROR(MID('Cálculo end'!L22,'Cálculo end'!F22+1,'Cálculo end'!G22-'Cálculo end'!F22-1),"")</f>
        <v>PT</v>
      </c>
      <c r="C30" s="5" t="str">
        <f>IFERROR(MID('Cálculo end'!L22,1,'Cálculo end'!F22-1),"")</f>
        <v>EN ISO 9712</v>
      </c>
      <c r="D30" s="5" t="str">
        <f>IFERROR(MID('Cálculo end'!L22,'Cálculo end'!H22+1,'Cálculo end'!I22-'Cálculo end'!H22-1),"")</f>
        <v>END-1473</v>
      </c>
      <c r="E30" s="5" t="str">
        <f>IFERROR(MID('Cálculo end'!L22,'Cálculo end'!G22+1,'Cálculo end'!H22-'Cálculo end'!G22-1),"")</f>
        <v>II</v>
      </c>
      <c r="F30" s="6">
        <f>IFERROR(DATEVALUE(MID('Cálculo end'!L22,'Cálculo end'!I22+1,'Cálculo end'!J22-'Cálculo end'!I22-1)),"")</f>
        <v>45346</v>
      </c>
      <c r="G30" s="7"/>
      <c r="H30" s="8" t="str">
        <f>IF(Tabela1[[#This Row],[NOME:]]&lt;&gt;"",HYPERLINK(CONCATENATE('Cálculo end'!$C$1,"\",Tabela1[[#This Row],[TÉCNICA:]],"\",'Cálculo end'!L22),"Link Certificado"),"")</f>
        <v>Link Certificado</v>
      </c>
      <c r="I30" s="9" t="str">
        <f>IF(Tabela1[[#This Row],[NOME:]]&lt;&gt;"",HYPERLINK(VLOOKUP(Tabela1[[#This Row],[NOME:]],'Cálculo Acuidade'!R:W,6,FALSE),"Link Acuidade"),"")</f>
        <v>Link Acuidade</v>
      </c>
      <c r="J30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1" spans="1:10">
      <c r="A31" s="4" t="str">
        <f>IFERROR(MID('Cálculo end'!L23,'Cálculo end'!J23+1,LEN('Cálculo end'!L23)-'Cálculo end'!J23-4),"")</f>
        <v>Marcelo Filipe Ferreira Pinto</v>
      </c>
      <c r="B31" s="5" t="str">
        <f>IFERROR(MID('Cálculo end'!L23,'Cálculo end'!F23+1,'Cálculo end'!G23-'Cálculo end'!F23-1),"")</f>
        <v>PT</v>
      </c>
      <c r="C31" s="5" t="str">
        <f>IFERROR(MID('Cálculo end'!L23,1,'Cálculo end'!F23-1),"")</f>
        <v>EN ISO 9712</v>
      </c>
      <c r="D31" s="5" t="str">
        <f>IFERROR(MID('Cálculo end'!L23,'Cálculo end'!H23+1,'Cálculo end'!I23-'Cálculo end'!H23-1),"")</f>
        <v>END-1474</v>
      </c>
      <c r="E31" s="5" t="str">
        <f>IFERROR(MID('Cálculo end'!L23,'Cálculo end'!G23+1,'Cálculo end'!H23-'Cálculo end'!G23-1),"")</f>
        <v>II</v>
      </c>
      <c r="F31" s="6">
        <f>IFERROR(DATEVALUE(MID('Cálculo end'!L23,'Cálculo end'!I23+1,'Cálculo end'!J23-'Cálculo end'!I23-1)),"")</f>
        <v>45346</v>
      </c>
      <c r="G31" s="7"/>
      <c r="H31" s="8" t="str">
        <f>IF(Tabela1[[#This Row],[NOME:]]&lt;&gt;"",HYPERLINK(CONCATENATE('Cálculo end'!$C$1,"\",Tabela1[[#This Row],[TÉCNICA:]],"\",'Cálculo end'!L23),"Link Certificado"),"")</f>
        <v>Link Certificado</v>
      </c>
      <c r="I31" s="9" t="str">
        <f>IF(Tabela1[[#This Row],[NOME:]]&lt;&gt;"",HYPERLINK(VLOOKUP(Tabela1[[#This Row],[NOME:]],'Cálculo Acuidade'!R:W,6,FALSE),"Link Acuidade"),"")</f>
        <v>Link Acuidade</v>
      </c>
      <c r="J31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2" spans="1:10">
      <c r="A32" s="4" t="str">
        <f>IFERROR(MID('Cálculo end'!L24,'Cálculo end'!J24+1,LEN('Cálculo end'!L24)-'Cálculo end'!J24-4),"")</f>
        <v>Fernando Pinheiro da Costa</v>
      </c>
      <c r="B32" s="5" t="str">
        <f>IFERROR(MID('Cálculo end'!L24,'Cálculo end'!F24+1,'Cálculo end'!G24-'Cálculo end'!F24-1),"")</f>
        <v>PT</v>
      </c>
      <c r="C32" s="5" t="str">
        <f>IFERROR(MID('Cálculo end'!L24,1,'Cálculo end'!F24-1),"")</f>
        <v>EN ISO 9712</v>
      </c>
      <c r="D32" s="5" t="str">
        <f>IFERROR(MID('Cálculo end'!L24,'Cálculo end'!H24+1,'Cálculo end'!I24-'Cálculo end'!H24-1),"")</f>
        <v>END-188</v>
      </c>
      <c r="E32" s="5" t="str">
        <f>IFERROR(MID('Cálculo end'!L24,'Cálculo end'!G24+1,'Cálculo end'!H24-'Cálculo end'!G24-1),"")</f>
        <v>II</v>
      </c>
      <c r="F32" s="6">
        <f>IFERROR(DATEVALUE(MID('Cálculo end'!L24,'Cálculo end'!I24+1,'Cálculo end'!J24-'Cálculo end'!I24-1)),"")</f>
        <v>45843</v>
      </c>
      <c r="G32" s="7"/>
      <c r="H32" s="8" t="str">
        <f>IF(Tabela1[[#This Row],[NOME:]]&lt;&gt;"",HYPERLINK(CONCATENATE('Cálculo end'!$C$1,"\",Tabela1[[#This Row],[TÉCNICA:]],"\",'Cálculo end'!L24),"Link Certificado"),"")</f>
        <v>Link Certificado</v>
      </c>
      <c r="I32" s="9" t="str">
        <f>IF(Tabela1[[#This Row],[NOME:]]&lt;&gt;"",HYPERLINK(VLOOKUP(Tabela1[[#This Row],[NOME:]],'Cálculo Acuidade'!R:W,6,FALSE),"Link Acuidade"),"")</f>
        <v>Link Acuidade</v>
      </c>
      <c r="J32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3" spans="1:10">
      <c r="A33" s="4" t="str">
        <f>IFERROR(MID('Cálculo end'!L25,'Cálculo end'!J25+1,LEN('Cálculo end'!L25)-'Cálculo end'!J25-4),"")</f>
        <v>Fernando Jorge Rodrigues Nogueira</v>
      </c>
      <c r="B33" s="5" t="str">
        <f>IFERROR(MID('Cálculo end'!L25,'Cálculo end'!F25+1,'Cálculo end'!G25-'Cálculo end'!F25-1),"")</f>
        <v>PT</v>
      </c>
      <c r="C33" s="5" t="str">
        <f>IFERROR(MID('Cálculo end'!L25,1,'Cálculo end'!F25-1),"")</f>
        <v>EN ISO 9712</v>
      </c>
      <c r="D33" s="5" t="str">
        <f>IFERROR(MID('Cálculo end'!L25,'Cálculo end'!H25+1,'Cálculo end'!I25-'Cálculo end'!H25-1),"")</f>
        <v>END-203</v>
      </c>
      <c r="E33" s="5" t="str">
        <f>IFERROR(MID('Cálculo end'!L25,'Cálculo end'!G25+1,'Cálculo end'!H25-'Cálculo end'!G25-1),"")</f>
        <v>II</v>
      </c>
      <c r="F33" s="6">
        <f>IFERROR(DATEVALUE(MID('Cálculo end'!L25,'Cálculo end'!I25+1,'Cálculo end'!J25-'Cálculo end'!I25-1)),"")</f>
        <v>45919</v>
      </c>
      <c r="G33" s="7"/>
      <c r="H33" s="8" t="str">
        <f>IF(Tabela1[[#This Row],[NOME:]]&lt;&gt;"",HYPERLINK(CONCATENATE('Cálculo end'!$C$1,"\",Tabela1[[#This Row],[TÉCNICA:]],"\",'Cálculo end'!L25),"Link Certificado"),"")</f>
        <v>Link Certificado</v>
      </c>
      <c r="I33" s="9" t="str">
        <f>IF(Tabela1[[#This Row],[NOME:]]&lt;&gt;"",HYPERLINK(VLOOKUP(Tabela1[[#This Row],[NOME:]],'Cálculo Acuidade'!R:W,6,FALSE),"Link Acuidade"),"")</f>
        <v>Link Acuidade</v>
      </c>
      <c r="J33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4" spans="1:10">
      <c r="A34" s="4" t="str">
        <f>IFERROR(MID('Cálculo end'!L26,'Cálculo end'!J26+1,LEN('Cálculo end'!L26)-'Cálculo end'!J26-4),"")</f>
        <v>Bruno Filipe Correia Silva</v>
      </c>
      <c r="B34" s="5" t="str">
        <f>IFERROR(MID('Cálculo end'!L26,'Cálculo end'!F26+1,'Cálculo end'!G26-'Cálculo end'!F26-1),"")</f>
        <v>PT</v>
      </c>
      <c r="C34" s="5" t="str">
        <f>IFERROR(MID('Cálculo end'!L26,1,'Cálculo end'!F26-1),"")</f>
        <v>EN ISO 9712</v>
      </c>
      <c r="D34" s="5" t="str">
        <f>IFERROR(MID('Cálculo end'!L26,'Cálculo end'!H26+1,'Cálculo end'!I26-'Cálculo end'!H26-1),"")</f>
        <v>END-442</v>
      </c>
      <c r="E34" s="5" t="str">
        <f>IFERROR(MID('Cálculo end'!L26,'Cálculo end'!G26+1,'Cálculo end'!H26-'Cálculo end'!G26-1),"")</f>
        <v>II</v>
      </c>
      <c r="F34" s="6">
        <f>IFERROR(DATEVALUE(MID('Cálculo end'!L26,'Cálculo end'!I26+1,'Cálculo end'!J26-'Cálculo end'!I26-1)),"")</f>
        <v>45752</v>
      </c>
      <c r="G34" s="7"/>
      <c r="H34" s="8" t="str">
        <f>IF(Tabela1[[#This Row],[NOME:]]&lt;&gt;"",HYPERLINK(CONCATENATE('Cálculo end'!$C$1,"\",Tabela1[[#This Row],[TÉCNICA:]],"\",'Cálculo end'!L26),"Link Certificado"),"")</f>
        <v>Link Certificado</v>
      </c>
      <c r="I34" s="9" t="str">
        <f>IF(Tabela1[[#This Row],[NOME:]]&lt;&gt;"",HYPERLINK(VLOOKUP(Tabela1[[#This Row],[NOME:]],'Cálculo Acuidade'!R:W,6,FALSE),"Link Acuidade"),"")</f>
        <v>Link Acuidade</v>
      </c>
      <c r="J34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5" spans="1:10">
      <c r="A35" s="4" t="str">
        <f>IFERROR(MID('Cálculo end'!L27,'Cálculo end'!J27+1,LEN('Cálculo end'!L27)-'Cálculo end'!J27-4),"")</f>
        <v>Francisco José Pereira Fernandes</v>
      </c>
      <c r="B35" s="5" t="str">
        <f>IFERROR(MID('Cálculo end'!L27,'Cálculo end'!F27+1,'Cálculo end'!G27-'Cálculo end'!F27-1),"")</f>
        <v>PT</v>
      </c>
      <c r="C35" s="5" t="str">
        <f>IFERROR(MID('Cálculo end'!L27,1,'Cálculo end'!F27-1),"")</f>
        <v>EN ISO 9712</v>
      </c>
      <c r="D35" s="5" t="str">
        <f>IFERROR(MID('Cálculo end'!L27,'Cálculo end'!H27+1,'Cálculo end'!I27-'Cálculo end'!H27-1),"")</f>
        <v>END-464</v>
      </c>
      <c r="E35" s="5" t="str">
        <f>IFERROR(MID('Cálculo end'!L27,'Cálculo end'!G27+1,'Cálculo end'!H27-'Cálculo end'!G27-1),"")</f>
        <v>II</v>
      </c>
      <c r="F35" s="6">
        <f>IFERROR(DATEVALUE(MID('Cálculo end'!L27,'Cálculo end'!I27+1,'Cálculo end'!J27-'Cálculo end'!I27-1)),"")</f>
        <v>45766</v>
      </c>
      <c r="G35" s="7"/>
      <c r="H35" s="8" t="str">
        <f>IF(Tabela1[[#This Row],[NOME:]]&lt;&gt;"",HYPERLINK(CONCATENATE('Cálculo end'!$C$1,"\",Tabela1[[#This Row],[TÉCNICA:]],"\",'Cálculo end'!L27),"Link Certificado"),"")</f>
        <v>Link Certificado</v>
      </c>
      <c r="I35" s="9" t="str">
        <f>IF(Tabela1[[#This Row],[NOME:]]&lt;&gt;"",HYPERLINK(VLOOKUP(Tabela1[[#This Row],[NOME:]],'Cálculo Acuidade'!R:W,6,FALSE),"Link Acuidade"),"")</f>
        <v>Link Acuidade</v>
      </c>
      <c r="J35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6" spans="1:10">
      <c r="A36" s="4" t="str">
        <f>IFERROR(MID('Cálculo end'!L28,'Cálculo end'!J28+1,LEN('Cálculo end'!L28)-'Cálculo end'!J28-4),"")</f>
        <v>Filipe Silva Melo Almeida</v>
      </c>
      <c r="B36" s="5" t="str">
        <f>IFERROR(MID('Cálculo end'!L28,'Cálculo end'!F28+1,'Cálculo end'!G28-'Cálculo end'!F28-1),"")</f>
        <v>PT</v>
      </c>
      <c r="C36" s="5" t="str">
        <f>IFERROR(MID('Cálculo end'!L28,1,'Cálculo end'!F28-1),"")</f>
        <v>EN ISO 9712</v>
      </c>
      <c r="D36" s="5" t="str">
        <f>IFERROR(MID('Cálculo end'!L28,'Cálculo end'!H28+1,'Cálculo end'!I28-'Cálculo end'!H28-1),"")</f>
        <v>END-619</v>
      </c>
      <c r="E36" s="5" t="str">
        <f>IFERROR(MID('Cálculo end'!L28,'Cálculo end'!G28+1,'Cálculo end'!H28-'Cálculo end'!G28-1),"")</f>
        <v>II</v>
      </c>
      <c r="F36" s="6">
        <f>IFERROR(DATEVALUE(MID('Cálculo end'!L28,'Cálculo end'!I28+1,'Cálculo end'!J28-'Cálculo end'!I28-1)),"")</f>
        <v>46396</v>
      </c>
      <c r="G36" s="7"/>
      <c r="H36" s="8" t="str">
        <f>IF(Tabela1[[#This Row],[NOME:]]&lt;&gt;"",HYPERLINK(CONCATENATE('Cálculo end'!$C$1,"\",Tabela1[[#This Row],[TÉCNICA:]],"\",'Cálculo end'!L28),"Link Certificado"),"")</f>
        <v>Link Certificado</v>
      </c>
      <c r="I36" s="9" t="str">
        <f>IF(Tabela1[[#This Row],[NOME:]]&lt;&gt;"",HYPERLINK(VLOOKUP(Tabela1[[#This Row],[NOME:]],'Cálculo Acuidade'!R:W,6,FALSE),"Link Acuidade"),"")</f>
        <v>Link Acuidade</v>
      </c>
      <c r="J36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7" spans="1:10">
      <c r="A37" s="4" t="str">
        <f>IFERROR(MID('Cálculo end'!L29,'Cálculo end'!J29+1,LEN('Cálculo end'!L29)-'Cálculo end'!J29-4),"")</f>
        <v>José Soares Ferreira</v>
      </c>
      <c r="B37" s="5" t="str">
        <f>IFERROR(MID('Cálculo end'!L29,'Cálculo end'!F29+1,'Cálculo end'!G29-'Cálculo end'!F29-1),"")</f>
        <v>PT</v>
      </c>
      <c r="C37" s="5" t="str">
        <f>IFERROR(MID('Cálculo end'!L29,1,'Cálculo end'!F29-1),"")</f>
        <v>EN ISO 9712</v>
      </c>
      <c r="D37" s="5" t="str">
        <f>IFERROR(MID('Cálculo end'!L29,'Cálculo end'!H29+1,'Cálculo end'!I29-'Cálculo end'!H29-1),"")</f>
        <v>END-833</v>
      </c>
      <c r="E37" s="5" t="str">
        <f>IFERROR(MID('Cálculo end'!L29,'Cálculo end'!G29+1,'Cálculo end'!H29-'Cálculo end'!G29-1),"")</f>
        <v>II</v>
      </c>
      <c r="F37" s="6">
        <f>IFERROR(DATEVALUE(MID('Cálculo end'!L29,'Cálculo end'!I29+1,'Cálculo end'!J29-'Cálculo end'!I29-1)),"")</f>
        <v>46971</v>
      </c>
      <c r="G37" s="7"/>
      <c r="H37" s="8" t="str">
        <f>IF(Tabela1[[#This Row],[NOME:]]&lt;&gt;"",HYPERLINK(CONCATENATE('Cálculo end'!$C$1,"\",Tabela1[[#This Row],[TÉCNICA:]],"\",'Cálculo end'!L29),"Link Certificado"),"")</f>
        <v>Link Certificado</v>
      </c>
      <c r="I37" s="9" t="str">
        <f>IF(Tabela1[[#This Row],[NOME:]]&lt;&gt;"",HYPERLINK(VLOOKUP(Tabela1[[#This Row],[NOME:]],'Cálculo Acuidade'!R:W,6,FALSE),"Link Acuidade"),"")</f>
        <v>Link Acuidade</v>
      </c>
      <c r="J37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8" spans="1:10">
      <c r="A38" s="4" t="str">
        <f>IFERROR(MID('Cálculo end'!L30,'Cálculo end'!J30+1,LEN('Cálculo end'!L30)-'Cálculo end'!J30-4),"")</f>
        <v>Fernando Pinheiro da Costa</v>
      </c>
      <c r="B38" s="5" t="str">
        <f>IFERROR(MID('Cálculo end'!L30,'Cálculo end'!F30+1,'Cálculo end'!G30-'Cálculo end'!F30-1),"")</f>
        <v>RT</v>
      </c>
      <c r="C38" s="5" t="str">
        <f>IFERROR(MID('Cálculo end'!L30,1,'Cálculo end'!F30-1),"")</f>
        <v>ASNT</v>
      </c>
      <c r="D38" s="5" t="str">
        <f>IFERROR(MID('Cálculo end'!L30,'Cálculo end'!H30+1,'Cálculo end'!I30-'Cálculo end'!H30-1),"")</f>
        <v>07-015-NDT</v>
      </c>
      <c r="E38" s="5" t="str">
        <f>IFERROR(MID('Cálculo end'!L30,'Cálculo end'!G30+1,'Cálculo end'!H30-'Cálculo end'!G30-1),"")</f>
        <v>II</v>
      </c>
      <c r="F38" s="6">
        <f>IFERROR(DATEVALUE(MID('Cálculo end'!L30,'Cálculo end'!I30+1,'Cálculo end'!J30-'Cálculo end'!I30-1)),"")</f>
        <v>46404</v>
      </c>
      <c r="G38" s="7"/>
      <c r="H38" s="8" t="str">
        <f>IF(Tabela1[[#This Row],[NOME:]]&lt;&gt;"",HYPERLINK(CONCATENATE('Cálculo end'!$C$1,"\",Tabela1[[#This Row],[TÉCNICA:]],"\",'Cálculo end'!L30),"Link Certificado"),"")</f>
        <v>Link Certificado</v>
      </c>
      <c r="I38" s="9" t="str">
        <f>IF(Tabela1[[#This Row],[NOME:]]&lt;&gt;"",HYPERLINK(VLOOKUP(Tabela1[[#This Row],[NOME:]],'Cálculo Acuidade'!R:W,6,FALSE),"Link Acuidade"),"")</f>
        <v>Link Acuidade</v>
      </c>
      <c r="J38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39" spans="1:10">
      <c r="A39" s="4" t="str">
        <f>IFERROR(MID('Cálculo end'!L31,'Cálculo end'!J31+1,LEN('Cálculo end'!L31)-'Cálculo end'!J31-4),"")</f>
        <v>Fernando Pinheiro da Costa</v>
      </c>
      <c r="B39" s="5" t="str">
        <f>IFERROR(MID('Cálculo end'!L31,'Cálculo end'!F31+1,'Cálculo end'!G31-'Cálculo end'!F31-1),"")</f>
        <v>RT</v>
      </c>
      <c r="C39" s="5" t="str">
        <f>IFERROR(MID('Cálculo end'!L31,1,'Cálculo end'!F31-1),"")</f>
        <v>EN ISO 9712</v>
      </c>
      <c r="D39" s="5" t="str">
        <f>IFERROR(MID('Cálculo end'!L31,'Cálculo end'!H31+1,'Cálculo end'!I31-'Cálculo end'!H31-1),"")</f>
        <v>END-148</v>
      </c>
      <c r="E39" s="5" t="str">
        <f>IFERROR(MID('Cálculo end'!L31,'Cálculo end'!G31+1,'Cálculo end'!H31-'Cálculo end'!G31-1),"")</f>
        <v>II</v>
      </c>
      <c r="F39" s="6">
        <f>IFERROR(DATEVALUE(MID('Cálculo end'!L31,'Cálculo end'!I31+1,'Cálculo end'!J31-'Cálculo end'!I31-1)),"")</f>
        <v>45552</v>
      </c>
      <c r="G39" s="7"/>
      <c r="H39" s="8" t="str">
        <f>IF(Tabela1[[#This Row],[NOME:]]&lt;&gt;"",HYPERLINK(CONCATENATE('Cálculo end'!$C$1,"\",Tabela1[[#This Row],[TÉCNICA:]],"\",'Cálculo end'!L31),"Link Certificado"),"")</f>
        <v>Link Certificado</v>
      </c>
      <c r="I39" s="9" t="str">
        <f>IF(Tabela1[[#This Row],[NOME:]]&lt;&gt;"",HYPERLINK(VLOOKUP(Tabela1[[#This Row],[NOME:]],'Cálculo Acuidade'!R:W,6,FALSE),"Link Acuidade"),"")</f>
        <v>Link Acuidade</v>
      </c>
      <c r="J39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0" spans="1:10">
      <c r="A40" s="4" t="str">
        <f>IFERROR(MID('Cálculo end'!L32,'Cálculo end'!J32+1,LEN('Cálculo end'!L32)-'Cálculo end'!J32-4),"")</f>
        <v>Ricardo Filipe Pina Freire</v>
      </c>
      <c r="B40" s="5" t="str">
        <f>IFERROR(MID('Cálculo end'!L32,'Cálculo end'!F32+1,'Cálculo end'!G32-'Cálculo end'!F32-1),"")</f>
        <v>RT</v>
      </c>
      <c r="C40" s="5" t="str">
        <f>IFERROR(MID('Cálculo end'!L32,1,'Cálculo end'!F32-1),"")</f>
        <v>EN ISO 9712</v>
      </c>
      <c r="D40" s="5" t="str">
        <f>IFERROR(MID('Cálculo end'!L32,'Cálculo end'!H32+1,'Cálculo end'!I32-'Cálculo end'!H32-1),"")</f>
        <v>END-611</v>
      </c>
      <c r="E40" s="5" t="str">
        <f>IFERROR(MID('Cálculo end'!L32,'Cálculo end'!G32+1,'Cálculo end'!H32-'Cálculo end'!G32-1),"")</f>
        <v>I</v>
      </c>
      <c r="F40" s="6">
        <f>IFERROR(DATEVALUE(MID('Cálculo end'!L32,'Cálculo end'!I32+1,'Cálculo end'!J32-'Cálculo end'!I32-1)),"")</f>
        <v>46262</v>
      </c>
      <c r="G40" s="7"/>
      <c r="H40" s="8" t="str">
        <f>IF(Tabela1[[#This Row],[NOME:]]&lt;&gt;"",HYPERLINK(CONCATENATE('Cálculo end'!$C$1,"\",Tabela1[[#This Row],[TÉCNICA:]],"\",'Cálculo end'!L32),"Link Certificado"),"")</f>
        <v>Link Certificado</v>
      </c>
      <c r="I40" s="9" t="str">
        <f>IF(Tabela1[[#This Row],[NOME:]]&lt;&gt;"",HYPERLINK(VLOOKUP(Tabela1[[#This Row],[NOME:]],'Cálculo Acuidade'!R:W,6,FALSE),"Link Acuidade"),"")</f>
        <v>Link Acuidade</v>
      </c>
      <c r="J40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1" spans="1:10">
      <c r="A41" s="4" t="str">
        <f>IFERROR(MID('Cálculo end'!L33,'Cálculo end'!J33+1,LEN('Cálculo end'!L33)-'Cálculo end'!J33-4),"")</f>
        <v>Fernando Pinheiro da Costa</v>
      </c>
      <c r="B41" s="5" t="str">
        <f>IFERROR(MID('Cálculo end'!L33,'Cálculo end'!F33+1,'Cálculo end'!G33-'Cálculo end'!F33-1),"")</f>
        <v>UT</v>
      </c>
      <c r="C41" s="5" t="str">
        <f>IFERROR(MID('Cálculo end'!L33,1,'Cálculo end'!F33-1),"")</f>
        <v>ASNT</v>
      </c>
      <c r="D41" s="5" t="str">
        <f>IFERROR(MID('Cálculo end'!L33,'Cálculo end'!H33+1,'Cálculo end'!I33-'Cálculo end'!H33-1),"")</f>
        <v>05-012-NDT</v>
      </c>
      <c r="E41" s="5" t="str">
        <f>IFERROR(MID('Cálculo end'!L33,'Cálculo end'!G33+1,'Cálculo end'!H33-'Cálculo end'!G33-1),"")</f>
        <v>II</v>
      </c>
      <c r="F41" s="6">
        <f>IFERROR(DATEVALUE(MID('Cálculo end'!L33,'Cálculo end'!I33+1,'Cálculo end'!J33-'Cálculo end'!I33-1)),"")</f>
        <v>47102</v>
      </c>
      <c r="G41" s="5"/>
      <c r="H41" s="11" t="str">
        <f>IF(Tabela1[[#This Row],[NOME:]]&lt;&gt;"",HYPERLINK(CONCATENATE('Cálculo end'!$C$1,"\",Tabela1[[#This Row],[TÉCNICA:]],"\",'Cálculo end'!L33),"Link Certificado"),"")</f>
        <v>Link Certificado</v>
      </c>
      <c r="I41" s="9" t="str">
        <f>IF(Tabela1[[#This Row],[NOME:]]&lt;&gt;"",HYPERLINK(VLOOKUP(Tabela1[[#This Row],[NOME:]],'Cálculo Acuidade'!R:W,6,FALSE),"Link Acuidade"),"")</f>
        <v>Link Acuidade</v>
      </c>
      <c r="J41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2" spans="1:10">
      <c r="A42" s="4" t="str">
        <f>IFERROR(MID('Cálculo end'!L34,'Cálculo end'!J34+1,LEN('Cálculo end'!L34)-'Cálculo end'!J34-4),"")</f>
        <v>Fernando Jorge Rodrigues Nogueira</v>
      </c>
      <c r="B42" s="5" t="str">
        <f>IFERROR(MID('Cálculo end'!L34,'Cálculo end'!F34+1,'Cálculo end'!G34-'Cálculo end'!F34-1),"")</f>
        <v>UT</v>
      </c>
      <c r="C42" s="5" t="str">
        <f>IFERROR(MID('Cálculo end'!L34,1,'Cálculo end'!F34-1),"")</f>
        <v>ASNT</v>
      </c>
      <c r="D42" s="5" t="str">
        <f>IFERROR(MID('Cálculo end'!L34,'Cálculo end'!H34+1,'Cálculo end'!I34-'Cálculo end'!H34-1),"")</f>
        <v>05-013-NDT</v>
      </c>
      <c r="E42" s="5" t="str">
        <f>IFERROR(MID('Cálculo end'!L34,'Cálculo end'!G34+1,'Cálculo end'!H34-'Cálculo end'!G34-1),"")</f>
        <v>II</v>
      </c>
      <c r="F42" s="6">
        <f>IFERROR(DATEVALUE(MID('Cálculo end'!L34,'Cálculo end'!I34+1,'Cálculo end'!J34-'Cálculo end'!I34-1)),"")</f>
        <v>47102</v>
      </c>
      <c r="G42" s="5"/>
      <c r="H42" s="11" t="str">
        <f>IF(Tabela1[[#This Row],[NOME:]]&lt;&gt;"",HYPERLINK(CONCATENATE('Cálculo end'!$C$1,"\",Tabela1[[#This Row],[TÉCNICA:]],"\",'Cálculo end'!L34),"Link Certificado"),"")</f>
        <v>Link Certificado</v>
      </c>
      <c r="I42" s="9" t="str">
        <f>IF(Tabela1[[#This Row],[NOME:]]&lt;&gt;"",HYPERLINK(VLOOKUP(Tabela1[[#This Row],[NOME:]],'Cálculo Acuidade'!R:W,6,FALSE),"Link Acuidade"),"")</f>
        <v>Link Acuidade</v>
      </c>
      <c r="J42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3" spans="1:10">
      <c r="A43" s="4" t="str">
        <f>IFERROR(MID('Cálculo end'!L35,'Cálculo end'!J35+1,LEN('Cálculo end'!L35)-'Cálculo end'!J35-4),"")</f>
        <v>Francisco Manuel Conceição Oliveira</v>
      </c>
      <c r="B43" s="5" t="str">
        <f>IFERROR(MID('Cálculo end'!L35,'Cálculo end'!F35+1,'Cálculo end'!G35-'Cálculo end'!F35-1),"")</f>
        <v>VT</v>
      </c>
      <c r="C43" s="5" t="str">
        <f>IFERROR(MID('Cálculo end'!L35,1,'Cálculo end'!F35-1),"")</f>
        <v>EN ISO 9712</v>
      </c>
      <c r="D43" s="5" t="str">
        <f>IFERROR(MID('Cálculo end'!L35,'Cálculo end'!H35+1,'Cálculo end'!I35-'Cálculo end'!H35-1),"")</f>
        <v>23TO00452PN6</v>
      </c>
      <c r="E43" s="5" t="str">
        <f>IFERROR(MID('Cálculo end'!L35,'Cálculo end'!G35+1,'Cálculo end'!H35-'Cálculo end'!G35-1),"")</f>
        <v>II</v>
      </c>
      <c r="F43" s="6">
        <f>IFERROR(DATEVALUE(MID('Cálculo end'!L35,'Cálculo end'!I35+1,'Cálculo end'!J35-'Cálculo end'!I35-1)),"")</f>
        <v>46950</v>
      </c>
      <c r="G43" s="5"/>
      <c r="H43" s="11" t="str">
        <f>IF(Tabela1[[#This Row],[NOME:]]&lt;&gt;"",HYPERLINK(CONCATENATE('Cálculo end'!$C$1,"\",Tabela1[[#This Row],[TÉCNICA:]],"\",'Cálculo end'!L35),"Link Certificado"),"")</f>
        <v>Link Certificado</v>
      </c>
      <c r="I43" s="9" t="str">
        <f>IF(Tabela1[[#This Row],[NOME:]]&lt;&gt;"",HYPERLINK(VLOOKUP(Tabela1[[#This Row],[NOME:]],'Cálculo Acuidade'!R:W,6,FALSE),"Link Acuidade"),"")</f>
        <v>Link Acuidade</v>
      </c>
      <c r="J43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4" spans="1:10">
      <c r="A44" s="4" t="str">
        <f>IFERROR(MID('Cálculo end'!L36,'Cálculo end'!J36+1,LEN('Cálculo end'!L36)-'Cálculo end'!J36-4),"")</f>
        <v>José Eduardo Martins Pinho</v>
      </c>
      <c r="B44" s="5" t="str">
        <f>IFERROR(MID('Cálculo end'!L36,'Cálculo end'!F36+1,'Cálculo end'!G36-'Cálculo end'!F36-1),"")</f>
        <v>VT</v>
      </c>
      <c r="C44" s="5" t="str">
        <f>IFERROR(MID('Cálculo end'!L36,1,'Cálculo end'!F36-1),"")</f>
        <v>EN ISO 9712</v>
      </c>
      <c r="D44" s="5" t="str">
        <f>IFERROR(MID('Cálculo end'!L36,'Cálculo end'!H36+1,'Cálculo end'!I36-'Cálculo end'!H36-1),"")</f>
        <v>23TO00452PN8</v>
      </c>
      <c r="E44" s="5" t="str">
        <f>IFERROR(MID('Cálculo end'!L36,'Cálculo end'!G36+1,'Cálculo end'!H36-'Cálculo end'!G36-1),"")</f>
        <v>II</v>
      </c>
      <c r="F44" s="6">
        <f>IFERROR(DATEVALUE(MID('Cálculo end'!L36,'Cálculo end'!I36+1,'Cálculo end'!J36-'Cálculo end'!I36-1)),"")</f>
        <v>46950</v>
      </c>
      <c r="G44" s="5"/>
      <c r="H44" s="11" t="str">
        <f>IF(Tabela1[[#This Row],[NOME:]]&lt;&gt;"",HYPERLINK(CONCATENATE('Cálculo end'!$C$1,"\",Tabela1[[#This Row],[TÉCNICA:]],"\",'Cálculo end'!L36),"Link Certificado"),"")</f>
        <v>Link Certificado</v>
      </c>
      <c r="I44" s="9" t="str">
        <f>IF(Tabela1[[#This Row],[NOME:]]&lt;&gt;"",HYPERLINK(VLOOKUP(Tabela1[[#This Row],[NOME:]],'Cálculo Acuidade'!R:W,6,FALSE),"Link Acuidade"),"")</f>
        <v>Link Acuidade</v>
      </c>
      <c r="J44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5" spans="1:10">
      <c r="A45" s="4" t="str">
        <f>IFERROR(MID('Cálculo end'!L37,'Cálculo end'!J37+1,LEN('Cálculo end'!L37)-'Cálculo end'!J37-4),"")</f>
        <v>Bruno Filipe Correia Silva</v>
      </c>
      <c r="B45" s="5" t="str">
        <f>IFERROR(MID('Cálculo end'!L37,'Cálculo end'!F37+1,'Cálculo end'!G37-'Cálculo end'!F37-1),"")</f>
        <v>VT</v>
      </c>
      <c r="C45" s="5" t="str">
        <f>IFERROR(MID('Cálculo end'!L37,1,'Cálculo end'!F37-1),"")</f>
        <v>EN ISO 9712</v>
      </c>
      <c r="D45" s="5" t="str">
        <f>IFERROR(MID('Cálculo end'!L37,'Cálculo end'!H37+1,'Cálculo end'!I37-'Cálculo end'!H37-1),"")</f>
        <v>END-969</v>
      </c>
      <c r="E45" s="5" t="str">
        <f>IFERROR(MID('Cálculo end'!L37,'Cálculo end'!G37+1,'Cálculo end'!H37-'Cálculo end'!G37-1),"")</f>
        <v>II</v>
      </c>
      <c r="F45" s="6">
        <f>IFERROR(DATEVALUE(MID('Cálculo end'!L37,'Cálculo end'!I37+1,'Cálculo end'!J37-'Cálculo end'!I37-1)),"")</f>
        <v>45432</v>
      </c>
      <c r="G45" s="5"/>
      <c r="H45" s="11" t="str">
        <f>IF(Tabela1[[#This Row],[NOME:]]&lt;&gt;"",HYPERLINK(CONCATENATE('Cálculo end'!$C$1,"\",Tabela1[[#This Row],[TÉCNICA:]],"\",'Cálculo end'!L37),"Link Certificado"),"")</f>
        <v>Link Certificado</v>
      </c>
      <c r="I45" s="9" t="str">
        <f>IF(Tabela1[[#This Row],[NOME:]]&lt;&gt;"",HYPERLINK(VLOOKUP(Tabela1[[#This Row],[NOME:]],'Cálculo Acuidade'!R:W,6,FALSE),"Link Acuidade"),"")</f>
        <v>Link Acuidade</v>
      </c>
      <c r="J45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6" spans="1:10">
      <c r="A46" s="4" t="str">
        <f>IFERROR(MID('Cálculo end'!L38,'Cálculo end'!J38+1,LEN('Cálculo end'!L38)-'Cálculo end'!J38-4),"")</f>
        <v>Francisco José Pereira Fernandes</v>
      </c>
      <c r="B46" s="5" t="str">
        <f>IFERROR(MID('Cálculo end'!L38,'Cálculo end'!F38+1,'Cálculo end'!G38-'Cálculo end'!F38-1),"")</f>
        <v>VT</v>
      </c>
      <c r="C46" s="5" t="str">
        <f>IFERROR(MID('Cálculo end'!L38,1,'Cálculo end'!F38-1),"")</f>
        <v>EN ISO 9712</v>
      </c>
      <c r="D46" s="5" t="str">
        <f>IFERROR(MID('Cálculo end'!L38,'Cálculo end'!H38+1,'Cálculo end'!I38-'Cálculo end'!H38-1),"")</f>
        <v>END-970</v>
      </c>
      <c r="E46" s="5" t="str">
        <f>IFERROR(MID('Cálculo end'!L38,'Cálculo end'!G38+1,'Cálculo end'!H38-'Cálculo end'!G38-1),"")</f>
        <v>II</v>
      </c>
      <c r="F46" s="6">
        <f>IFERROR(DATEVALUE(MID('Cálculo end'!L38,'Cálculo end'!I38+1,'Cálculo end'!J38-'Cálculo end'!I38-1)),"")</f>
        <v>45432</v>
      </c>
      <c r="G46" s="5"/>
      <c r="H46" s="11" t="str">
        <f>IF(Tabela1[[#This Row],[NOME:]]&lt;&gt;"",HYPERLINK(CONCATENATE('Cálculo end'!$C$1,"\",Tabela1[[#This Row],[TÉCNICA:]],"\",'Cálculo end'!L38),"Link Certificado"),"")</f>
        <v>Link Certificado</v>
      </c>
      <c r="I46" s="9" t="str">
        <f>IF(Tabela1[[#This Row],[NOME:]]&lt;&gt;"",HYPERLINK(VLOOKUP(Tabela1[[#This Row],[NOME:]],'Cálculo Acuidade'!R:W,6,FALSE),"Link Acuidade"),"")</f>
        <v>Link Acuidade</v>
      </c>
      <c r="J46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7" spans="1:10">
      <c r="A47" s="4" t="str">
        <f>IFERROR(MID('Cálculo end'!L39,'Cálculo end'!J39+1,LEN('Cálculo end'!L39)-'Cálculo end'!J39-4),"")</f>
        <v>Fernando Pinheiro da Costa</v>
      </c>
      <c r="B47" s="5" t="str">
        <f>IFERROR(MID('Cálculo end'!L39,'Cálculo end'!F39+1,'Cálculo end'!G39-'Cálculo end'!F39-1),"")</f>
        <v>VT</v>
      </c>
      <c r="C47" s="5" t="str">
        <f>IFERROR(MID('Cálculo end'!L39,1,'Cálculo end'!F39-1),"")</f>
        <v>EN ISO 9712</v>
      </c>
      <c r="D47" s="5" t="str">
        <f>IFERROR(MID('Cálculo end'!L39,'Cálculo end'!H39+1,'Cálculo end'!I39-'Cálculo end'!H39-1),"")</f>
        <v>END-972</v>
      </c>
      <c r="E47" s="5" t="str">
        <f>IFERROR(MID('Cálculo end'!L39,'Cálculo end'!G39+1,'Cálculo end'!H39-'Cálculo end'!G39-1),"")</f>
        <v>II</v>
      </c>
      <c r="F47" s="6">
        <f>IFERROR(DATEVALUE(MID('Cálculo end'!L39,'Cálculo end'!I39+1,'Cálculo end'!J39-'Cálculo end'!I39-1)),"")</f>
        <v>45432</v>
      </c>
      <c r="G47" s="5"/>
      <c r="H47" s="11" t="str">
        <f>IF(Tabela1[[#This Row],[NOME:]]&lt;&gt;"",HYPERLINK(CONCATENATE('Cálculo end'!$C$1,"\",Tabela1[[#This Row],[TÉCNICA:]],"\",'Cálculo end'!L39),"Link Certificado"),"")</f>
        <v>Link Certificado</v>
      </c>
      <c r="I47" s="9" t="str">
        <f>IF(Tabela1[[#This Row],[NOME:]]&lt;&gt;"",HYPERLINK(VLOOKUP(Tabela1[[#This Row],[NOME:]],'Cálculo Acuidade'!R:W,6,FALSE),"Link Acuidade"),"")</f>
        <v>Link Acuidade</v>
      </c>
      <c r="J47" s="10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8" spans="1:10" ht="15.75" thickBot="1">
      <c r="A48" s="12" t="str">
        <f>IFERROR(MID('Cálculo end'!L40,'Cálculo end'!J40+1,LEN('Cálculo end'!L40)-'Cálculo end'!J40-4),"")</f>
        <v>Filipe Silva Melo Almeida</v>
      </c>
      <c r="B48" s="13" t="str">
        <f>IFERROR(MID('Cálculo end'!L40,'Cálculo end'!F40+1,'Cálculo end'!G40-'Cálculo end'!F40-1),"")</f>
        <v>VT</v>
      </c>
      <c r="C48" s="13" t="str">
        <f>IFERROR(MID('Cálculo end'!L40,1,'Cálculo end'!F40-1),"")</f>
        <v>EN ISO 9712</v>
      </c>
      <c r="D48" s="13" t="str">
        <f>IFERROR(MID('Cálculo end'!L40,'Cálculo end'!H40+1,'Cálculo end'!I40-'Cálculo end'!H40-1),"")</f>
        <v>END-975</v>
      </c>
      <c r="E48" s="13" t="str">
        <f>IFERROR(MID('Cálculo end'!L40,'Cálculo end'!G40+1,'Cálculo end'!H40-'Cálculo end'!G40-1),"")</f>
        <v>II</v>
      </c>
      <c r="F48" s="14">
        <f>IFERROR(DATEVALUE(MID('Cálculo end'!L40,'Cálculo end'!I40+1,'Cálculo end'!J40-'Cálculo end'!I40-1)),"")</f>
        <v>45432</v>
      </c>
      <c r="G48" s="13"/>
      <c r="H48" s="15" t="str">
        <f>IF(Tabela1[[#This Row],[NOME:]]&lt;&gt;"",HYPERLINK(CONCATENATE('Cálculo end'!$C$1,"\",Tabela1[[#This Row],[TÉCNICA:]],"\",'Cálculo end'!L40),"Link Certificado"),"")</f>
        <v>Link Certificado</v>
      </c>
      <c r="I48" s="16" t="str">
        <f>IF(Tabela1[[#This Row],[NOME:]]&lt;&gt;"",HYPERLINK(VLOOKUP(Tabela1[[#This Row],[NOME:]],'Cálculo Acuidade'!R:W,6,FALSE),"Link Acuidade"),"")</f>
        <v>Link Acuidade</v>
      </c>
      <c r="J48" s="17">
        <f>IF(Tabela1[[#This Row],[NOME:]]&lt;&gt;"",DATEVALUE(CONCATENATE(VLOOKUP(Tabela1[[#This Row],[NOME:]],'Cálculo Acuidade'!R:U,2,FALSE),"-",VLOOKUP(Tabela1[[#This Row],[NOME:]],'Cálculo Acuidade'!R:U,4,FALSE))),"")</f>
        <v>45673</v>
      </c>
    </row>
    <row r="49" spans="1:10">
      <c r="A49" s="43" t="str">
        <f>IFERROR(MID('Cálculo end'!L41,'Cálculo end'!J41+1,LEN('Cálculo end'!L41)-'Cálculo end'!J41-4),"")</f>
        <v/>
      </c>
      <c r="B49" s="44" t="str">
        <f>IFERROR(MID('Cálculo end'!L41,'Cálculo end'!F41+1,'Cálculo end'!G41-'Cálculo end'!F41-1),"")</f>
        <v/>
      </c>
      <c r="C49" s="44" t="str">
        <f>IFERROR(MID('Cálculo end'!L41,1,'Cálculo end'!F41-1),"")</f>
        <v/>
      </c>
      <c r="D49" s="44" t="str">
        <f>IFERROR(MID('Cálculo end'!L41,'Cálculo end'!H41+1,'Cálculo end'!I41-'Cálculo end'!H41-1),"")</f>
        <v/>
      </c>
      <c r="E49" s="44" t="str">
        <f>IFERROR(MID('Cálculo end'!L41,'Cálculo end'!G41+1,'Cálculo end'!H41-'Cálculo end'!G41-1),"")</f>
        <v/>
      </c>
      <c r="F49" s="45" t="str">
        <f>IFERROR(DATEVALUE(MID('Cálculo end'!L41,'Cálculo end'!I41+1,'Cálculo end'!J41-'Cálculo end'!I41-1)),"")</f>
        <v/>
      </c>
      <c r="G49" s="44"/>
      <c r="H49" s="46" t="str">
        <f>IF(Tabela1[[#This Row],[NOME:]]&lt;&gt;"",HYPERLINK(CONCATENATE('Cálculo end'!$C$1,"\",Tabela1[[#This Row],[TÉCNICA:]],"\",'Cálculo end'!L41),"Link Certificado"),"")</f>
        <v/>
      </c>
      <c r="I49" s="47" t="str">
        <f>IF(Tabela1[[#This Row],[NOME:]]&lt;&gt;"",HYPERLINK(VLOOKUP(Tabela1[[#This Row],[NOME:]],'Cálculo Acuidade'!R:W,6,FALSE),"Link Acuidade"),"")</f>
        <v/>
      </c>
      <c r="J49" s="48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0" spans="1:10">
      <c r="A50" s="4" t="str">
        <f>IFERROR(MID('Cálculo end'!L42,'Cálculo end'!J42+1,LEN('Cálculo end'!L42)-'Cálculo end'!J42-4),"")</f>
        <v/>
      </c>
      <c r="B50" s="5" t="str">
        <f>IFERROR(MID('Cálculo end'!L42,'Cálculo end'!F42+1,'Cálculo end'!G42-'Cálculo end'!F42-1),"")</f>
        <v/>
      </c>
      <c r="C50" s="5" t="str">
        <f>IFERROR(MID('Cálculo end'!L42,1,'Cálculo end'!F42-1),"")</f>
        <v/>
      </c>
      <c r="D50" s="5" t="str">
        <f>IFERROR(MID('Cálculo end'!L42,'Cálculo end'!H42+1,'Cálculo end'!I42-'Cálculo end'!H42-1),"")</f>
        <v/>
      </c>
      <c r="E50" s="5" t="str">
        <f>IFERROR(MID('Cálculo end'!L42,'Cálculo end'!G42+1,'Cálculo end'!H42-'Cálculo end'!G42-1),"")</f>
        <v/>
      </c>
      <c r="F50" s="6" t="str">
        <f>IFERROR(DATEVALUE(MID('Cálculo end'!L42,'Cálculo end'!I42+1,'Cálculo end'!J42-'Cálculo end'!I42-1)),"")</f>
        <v/>
      </c>
      <c r="G50" s="5"/>
      <c r="H50" s="11" t="str">
        <f>IF(Tabela1[[#This Row],[NOME:]]&lt;&gt;"",HYPERLINK(CONCATENATE('Cálculo end'!$C$1,"\",Tabela1[[#This Row],[TÉCNICA:]],"\",'Cálculo end'!L42),"Link Certificado"),"")</f>
        <v/>
      </c>
      <c r="I50" s="9" t="str">
        <f>IF(Tabela1[[#This Row],[NOME:]]&lt;&gt;"",HYPERLINK(VLOOKUP(Tabela1[[#This Row],[NOME:]],'Cálculo Acuidade'!R:W,6,FALSE),"Link Acuidade"),"")</f>
        <v/>
      </c>
      <c r="J50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1" spans="1:10">
      <c r="A51" s="4" t="str">
        <f>IFERROR(MID('Cálculo end'!L43,'Cálculo end'!J43+1,LEN('Cálculo end'!L43)-'Cálculo end'!J43-4),"")</f>
        <v/>
      </c>
      <c r="B51" s="5" t="str">
        <f>IFERROR(MID('Cálculo end'!L43,'Cálculo end'!F43+1,'Cálculo end'!G43-'Cálculo end'!F43-1),"")</f>
        <v/>
      </c>
      <c r="C51" s="5" t="str">
        <f>IFERROR(MID('Cálculo end'!L43,1,'Cálculo end'!F43-1),"")</f>
        <v/>
      </c>
      <c r="D51" s="5" t="str">
        <f>IFERROR(MID('Cálculo end'!L43,'Cálculo end'!H43+1,'Cálculo end'!I43-'Cálculo end'!H43-1),"")</f>
        <v/>
      </c>
      <c r="E51" s="5" t="str">
        <f>IFERROR(MID('Cálculo end'!L43,'Cálculo end'!G43+1,'Cálculo end'!H43-'Cálculo end'!G43-1),"")</f>
        <v/>
      </c>
      <c r="F51" s="6" t="str">
        <f>IFERROR(DATEVALUE(MID('Cálculo end'!L43,'Cálculo end'!I43+1,'Cálculo end'!J43-'Cálculo end'!I43-1)),"")</f>
        <v/>
      </c>
      <c r="G51" s="5"/>
      <c r="H51" s="11" t="str">
        <f>IF(Tabela1[[#This Row],[NOME:]]&lt;&gt;"",HYPERLINK(CONCATENATE('Cálculo end'!$C$1,"\",Tabela1[[#This Row],[TÉCNICA:]],"\",'Cálculo end'!L43),"Link Certificado"),"")</f>
        <v/>
      </c>
      <c r="I51" s="9" t="str">
        <f>IF(Tabela1[[#This Row],[NOME:]]&lt;&gt;"",HYPERLINK(VLOOKUP(Tabela1[[#This Row],[NOME:]],'Cálculo Acuidade'!R:W,6,FALSE),"Link Acuidade"),"")</f>
        <v/>
      </c>
      <c r="J51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2" spans="1:10">
      <c r="A52" s="4" t="str">
        <f>IFERROR(MID('Cálculo end'!L44,'Cálculo end'!J44+1,LEN('Cálculo end'!L44)-'Cálculo end'!J44-4),"")</f>
        <v/>
      </c>
      <c r="B52" s="5" t="str">
        <f>IFERROR(MID('Cálculo end'!L44,'Cálculo end'!F44+1,'Cálculo end'!G44-'Cálculo end'!F44-1),"")</f>
        <v/>
      </c>
      <c r="C52" s="5" t="str">
        <f>IFERROR(MID('Cálculo end'!L44,1,'Cálculo end'!F44-1),"")</f>
        <v/>
      </c>
      <c r="D52" s="5" t="str">
        <f>IFERROR(MID('Cálculo end'!L44,'Cálculo end'!H44+1,'Cálculo end'!I44-'Cálculo end'!H44-1),"")</f>
        <v/>
      </c>
      <c r="E52" s="5" t="str">
        <f>IFERROR(MID('Cálculo end'!L44,'Cálculo end'!G44+1,'Cálculo end'!H44-'Cálculo end'!G44-1),"")</f>
        <v/>
      </c>
      <c r="F52" s="6" t="str">
        <f>IFERROR(DATEVALUE(MID('Cálculo end'!L44,'Cálculo end'!I44+1,'Cálculo end'!J44-'Cálculo end'!I44-1)),"")</f>
        <v/>
      </c>
      <c r="G52" s="5"/>
      <c r="H52" s="11" t="str">
        <f>IF(Tabela1[[#This Row],[NOME:]]&lt;&gt;"",HYPERLINK(CONCATENATE('Cálculo end'!$C$1,"\",Tabela1[[#This Row],[TÉCNICA:]],"\",'Cálculo end'!L44),"Link Certificado"),"")</f>
        <v/>
      </c>
      <c r="I52" s="9" t="str">
        <f>IF(Tabela1[[#This Row],[NOME:]]&lt;&gt;"",HYPERLINK(VLOOKUP(Tabela1[[#This Row],[NOME:]],'Cálculo Acuidade'!R:W,6,FALSE),"Link Acuidade"),"")</f>
        <v/>
      </c>
      <c r="J52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3" spans="1:10">
      <c r="A53" s="4" t="str">
        <f>IFERROR(MID('Cálculo end'!L45,'Cálculo end'!J45+1,LEN('Cálculo end'!L45)-'Cálculo end'!J45-4),"")</f>
        <v/>
      </c>
      <c r="B53" s="5" t="str">
        <f>IFERROR(MID('Cálculo end'!L45,'Cálculo end'!F45+1,'Cálculo end'!G45-'Cálculo end'!F45-1),"")</f>
        <v/>
      </c>
      <c r="C53" s="5" t="str">
        <f>IFERROR(MID('Cálculo end'!L45,1,'Cálculo end'!F45-1),"")</f>
        <v/>
      </c>
      <c r="D53" s="5" t="str">
        <f>IFERROR(MID('Cálculo end'!L45,'Cálculo end'!H45+1,'Cálculo end'!I45-'Cálculo end'!H45-1),"")</f>
        <v/>
      </c>
      <c r="E53" s="5" t="str">
        <f>IFERROR(MID('Cálculo end'!L45,'Cálculo end'!G45+1,'Cálculo end'!H45-'Cálculo end'!G45-1),"")</f>
        <v/>
      </c>
      <c r="F53" s="6" t="str">
        <f>IFERROR(DATEVALUE(MID('Cálculo end'!L45,'Cálculo end'!I45+1,'Cálculo end'!J45-'Cálculo end'!I45-1)),"")</f>
        <v/>
      </c>
      <c r="G53" s="5"/>
      <c r="H53" s="11" t="str">
        <f>IF(Tabela1[[#This Row],[NOME:]]&lt;&gt;"",HYPERLINK(CONCATENATE('Cálculo end'!$C$1,"\",Tabela1[[#This Row],[TÉCNICA:]],"\",'Cálculo end'!L45),"Link Certificado"),"")</f>
        <v/>
      </c>
      <c r="I53" s="9" t="str">
        <f>IF(Tabela1[[#This Row],[NOME:]]&lt;&gt;"",HYPERLINK(VLOOKUP(Tabela1[[#This Row],[NOME:]],'Cálculo Acuidade'!R:W,6,FALSE),"Link Acuidade"),"")</f>
        <v/>
      </c>
      <c r="J53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4" spans="1:10">
      <c r="A54" s="4" t="str">
        <f>IFERROR(MID('Cálculo end'!L46,'Cálculo end'!J46+1,LEN('Cálculo end'!L46)-'Cálculo end'!J46-4),"")</f>
        <v/>
      </c>
      <c r="B54" s="5" t="str">
        <f>IFERROR(MID('Cálculo end'!L46,'Cálculo end'!F46+1,'Cálculo end'!G46-'Cálculo end'!F46-1),"")</f>
        <v/>
      </c>
      <c r="C54" s="5" t="str">
        <f>IFERROR(MID('Cálculo end'!L46,1,'Cálculo end'!F46-1),"")</f>
        <v/>
      </c>
      <c r="D54" s="5" t="str">
        <f>IFERROR(MID('Cálculo end'!L46,'Cálculo end'!H46+1,'Cálculo end'!I46-'Cálculo end'!H46-1),"")</f>
        <v/>
      </c>
      <c r="E54" s="5" t="str">
        <f>IFERROR(MID('Cálculo end'!L46,'Cálculo end'!G46+1,'Cálculo end'!H46-'Cálculo end'!G46-1),"")</f>
        <v/>
      </c>
      <c r="F54" s="6" t="str">
        <f>IFERROR(DATEVALUE(MID('Cálculo end'!L46,'Cálculo end'!I46+1,'Cálculo end'!J46-'Cálculo end'!I46-1)),"")</f>
        <v/>
      </c>
      <c r="G54" s="5"/>
      <c r="H54" s="11" t="str">
        <f>IF(Tabela1[[#This Row],[NOME:]]&lt;&gt;"",HYPERLINK(CONCATENATE('Cálculo end'!$C$1,"\",Tabela1[[#This Row],[TÉCNICA:]],"\",'Cálculo end'!L46),"Link Certificado"),"")</f>
        <v/>
      </c>
      <c r="I54" s="9" t="str">
        <f>IF(Tabela1[[#This Row],[NOME:]]&lt;&gt;"",HYPERLINK(VLOOKUP(Tabela1[[#This Row],[NOME:]],'Cálculo Acuidade'!R:W,6,FALSE),"Link Acuidade"),"")</f>
        <v/>
      </c>
      <c r="J54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5" spans="1:10">
      <c r="A55" s="4" t="str">
        <f>IFERROR(MID('Cálculo end'!L47,'Cálculo end'!J47+1,LEN('Cálculo end'!L47)-'Cálculo end'!J47-4),"")</f>
        <v/>
      </c>
      <c r="B55" s="5" t="str">
        <f>IFERROR(MID('Cálculo end'!L47,'Cálculo end'!F47+1,'Cálculo end'!G47-'Cálculo end'!F47-1),"")</f>
        <v/>
      </c>
      <c r="C55" s="5" t="str">
        <f>IFERROR(MID('Cálculo end'!L47,1,'Cálculo end'!F47-1),"")</f>
        <v/>
      </c>
      <c r="D55" s="5" t="str">
        <f>IFERROR(MID('Cálculo end'!L47,'Cálculo end'!H47+1,'Cálculo end'!I47-'Cálculo end'!H47-1),"")</f>
        <v/>
      </c>
      <c r="E55" s="5" t="str">
        <f>IFERROR(MID('Cálculo end'!L47,'Cálculo end'!G47+1,'Cálculo end'!H47-'Cálculo end'!G47-1),"")</f>
        <v/>
      </c>
      <c r="F55" s="6" t="str">
        <f>IFERROR(DATEVALUE(MID('Cálculo end'!L47,'Cálculo end'!I47+1,'Cálculo end'!J47-'Cálculo end'!I47-1)),"")</f>
        <v/>
      </c>
      <c r="G55" s="5"/>
      <c r="H55" s="11" t="str">
        <f>IF(Tabela1[[#This Row],[NOME:]]&lt;&gt;"",HYPERLINK(CONCATENATE('Cálculo end'!$C$1,"\",Tabela1[[#This Row],[TÉCNICA:]],"\",'Cálculo end'!L47),"Link Certificado"),"")</f>
        <v/>
      </c>
      <c r="I55" s="9" t="str">
        <f>IF(Tabela1[[#This Row],[NOME:]]&lt;&gt;"",HYPERLINK(VLOOKUP(Tabela1[[#This Row],[NOME:]],'Cálculo Acuidade'!R:W,6,FALSE),"Link Acuidade"),"")</f>
        <v/>
      </c>
      <c r="J55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6" spans="1:10">
      <c r="A56" s="4" t="str">
        <f>IFERROR(MID('Cálculo end'!L48,'Cálculo end'!J48+1,LEN('Cálculo end'!L48)-'Cálculo end'!J48-4),"")</f>
        <v/>
      </c>
      <c r="B56" s="5" t="str">
        <f>IFERROR(MID('Cálculo end'!L48,'Cálculo end'!F48+1,'Cálculo end'!G48-'Cálculo end'!F48-1),"")</f>
        <v/>
      </c>
      <c r="C56" s="5" t="str">
        <f>IFERROR(MID('Cálculo end'!L48,1,'Cálculo end'!F48-1),"")</f>
        <v/>
      </c>
      <c r="D56" s="5" t="str">
        <f>IFERROR(MID('Cálculo end'!L48,'Cálculo end'!H48+1,'Cálculo end'!I48-'Cálculo end'!H48-1),"")</f>
        <v/>
      </c>
      <c r="E56" s="5" t="str">
        <f>IFERROR(MID('Cálculo end'!L48,'Cálculo end'!G48+1,'Cálculo end'!H48-'Cálculo end'!G48-1),"")</f>
        <v/>
      </c>
      <c r="F56" s="6" t="str">
        <f>IFERROR(DATEVALUE(MID('Cálculo end'!L48,'Cálculo end'!I48+1,'Cálculo end'!J48-'Cálculo end'!I48-1)),"")</f>
        <v/>
      </c>
      <c r="G56" s="5"/>
      <c r="H56" s="11" t="str">
        <f>IF(Tabela1[[#This Row],[NOME:]]&lt;&gt;"",HYPERLINK(CONCATENATE('Cálculo end'!$C$1,"\",Tabela1[[#This Row],[TÉCNICA:]],"\",'Cálculo end'!L48),"Link Certificado"),"")</f>
        <v/>
      </c>
      <c r="I56" s="9" t="str">
        <f>IF(Tabela1[[#This Row],[NOME:]]&lt;&gt;"",HYPERLINK(VLOOKUP(Tabela1[[#This Row],[NOME:]],'Cálculo Acuidade'!R:W,6,FALSE),"Link Acuidade"),"")</f>
        <v/>
      </c>
      <c r="J56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7" spans="1:10">
      <c r="A57" s="4" t="str">
        <f>IFERROR(MID('Cálculo end'!L49,'Cálculo end'!J49+1,LEN('Cálculo end'!L49)-'Cálculo end'!J49-4),"")</f>
        <v/>
      </c>
      <c r="B57" s="5" t="str">
        <f>IFERROR(MID('Cálculo end'!L49,'Cálculo end'!F49+1,'Cálculo end'!G49-'Cálculo end'!F49-1),"")</f>
        <v/>
      </c>
      <c r="C57" s="5" t="str">
        <f>IFERROR(MID('Cálculo end'!L49,1,'Cálculo end'!F49-1),"")</f>
        <v/>
      </c>
      <c r="D57" s="5" t="str">
        <f>IFERROR(MID('Cálculo end'!L49,'Cálculo end'!H49+1,'Cálculo end'!I49-'Cálculo end'!H49-1),"")</f>
        <v/>
      </c>
      <c r="E57" s="5" t="str">
        <f>IFERROR(MID('Cálculo end'!L49,'Cálculo end'!G49+1,'Cálculo end'!H49-'Cálculo end'!G49-1),"")</f>
        <v/>
      </c>
      <c r="F57" s="6" t="str">
        <f>IFERROR(DATEVALUE(MID('Cálculo end'!L49,'Cálculo end'!I49+1,'Cálculo end'!J49-'Cálculo end'!I49-1)),"")</f>
        <v/>
      </c>
      <c r="G57" s="5"/>
      <c r="H57" s="11" t="str">
        <f>IF(Tabela1[[#This Row],[NOME:]]&lt;&gt;"",HYPERLINK(CONCATENATE('Cálculo end'!$C$1,"\",Tabela1[[#This Row],[TÉCNICA:]],"\",'Cálculo end'!L49),"Link Certificado"),"")</f>
        <v/>
      </c>
      <c r="I57" s="9" t="str">
        <f>IF(Tabela1[[#This Row],[NOME:]]&lt;&gt;"",HYPERLINK(VLOOKUP(Tabela1[[#This Row],[NOME:]],'Cálculo Acuidade'!R:W,6,FALSE),"Link Acuidade"),"")</f>
        <v/>
      </c>
      <c r="J57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8" spans="1:10">
      <c r="A58" s="4" t="str">
        <f>IFERROR(MID('Cálculo end'!L50,'Cálculo end'!J50+1,LEN('Cálculo end'!L50)-'Cálculo end'!J50-4),"")</f>
        <v/>
      </c>
      <c r="B58" s="5" t="str">
        <f>IFERROR(MID('Cálculo end'!L50,'Cálculo end'!F50+1,'Cálculo end'!G50-'Cálculo end'!F50-1),"")</f>
        <v/>
      </c>
      <c r="C58" s="5" t="str">
        <f>IFERROR(MID('Cálculo end'!L50,1,'Cálculo end'!F50-1),"")</f>
        <v/>
      </c>
      <c r="D58" s="5" t="str">
        <f>IFERROR(MID('Cálculo end'!L50,'Cálculo end'!H50+1,'Cálculo end'!I50-'Cálculo end'!H50-1),"")</f>
        <v/>
      </c>
      <c r="E58" s="5" t="str">
        <f>IFERROR(MID('Cálculo end'!L50,'Cálculo end'!G50+1,'Cálculo end'!H50-'Cálculo end'!G50-1),"")</f>
        <v/>
      </c>
      <c r="F58" s="6" t="str">
        <f>IFERROR(DATEVALUE(MID('Cálculo end'!L50,'Cálculo end'!I50+1,'Cálculo end'!J50-'Cálculo end'!I50-1)),"")</f>
        <v/>
      </c>
      <c r="G58" s="5"/>
      <c r="H58" s="11" t="str">
        <f>IF(Tabela1[[#This Row],[NOME:]]&lt;&gt;"",HYPERLINK(CONCATENATE('Cálculo end'!$C$1,"\",Tabela1[[#This Row],[TÉCNICA:]],"\",'Cálculo end'!L50),"Link Certificado"),"")</f>
        <v/>
      </c>
      <c r="I58" s="9" t="str">
        <f>IF(Tabela1[[#This Row],[NOME:]]&lt;&gt;"",HYPERLINK(VLOOKUP(Tabela1[[#This Row],[NOME:]],'Cálculo Acuidade'!R:W,6,FALSE),"Link Acuidade"),"")</f>
        <v/>
      </c>
      <c r="J58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59" spans="1:10">
      <c r="A59" s="4" t="str">
        <f>IFERROR(MID('Cálculo end'!L51,'Cálculo end'!J51+1,LEN('Cálculo end'!L51)-'Cálculo end'!J51-4),"")</f>
        <v/>
      </c>
      <c r="B59" s="5" t="str">
        <f>IFERROR(MID('Cálculo end'!L51,'Cálculo end'!F51+1,'Cálculo end'!G51-'Cálculo end'!F51-1),"")</f>
        <v/>
      </c>
      <c r="C59" s="5" t="str">
        <f>IFERROR(MID('Cálculo end'!L51,1,'Cálculo end'!F51-1),"")</f>
        <v/>
      </c>
      <c r="D59" s="5" t="str">
        <f>IFERROR(MID('Cálculo end'!L51,'Cálculo end'!H51+1,'Cálculo end'!I51-'Cálculo end'!H51-1),"")</f>
        <v/>
      </c>
      <c r="E59" s="5" t="str">
        <f>IFERROR(MID('Cálculo end'!L51,'Cálculo end'!G51+1,'Cálculo end'!H51-'Cálculo end'!G51-1),"")</f>
        <v/>
      </c>
      <c r="F59" s="6" t="str">
        <f>IFERROR(DATEVALUE(MID('Cálculo end'!L51,'Cálculo end'!I51+1,'Cálculo end'!J51-'Cálculo end'!I51-1)),"")</f>
        <v/>
      </c>
      <c r="G59" s="5"/>
      <c r="H59" s="11" t="str">
        <f>IF(Tabela1[[#This Row],[NOME:]]&lt;&gt;"",HYPERLINK(CONCATENATE('Cálculo end'!$C$1,"\",Tabela1[[#This Row],[TÉCNICA:]],"\",'Cálculo end'!L51),"Link Certificado"),"")</f>
        <v/>
      </c>
      <c r="I59" s="9" t="str">
        <f>IF(Tabela1[[#This Row],[NOME:]]&lt;&gt;"",HYPERLINK(VLOOKUP(Tabela1[[#This Row],[NOME:]],'Cálculo Acuidade'!R:W,6,FALSE),"Link Acuidade"),"")</f>
        <v/>
      </c>
      <c r="J59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0" spans="1:10">
      <c r="A60" s="4" t="str">
        <f>IFERROR(MID('Cálculo end'!L52,'Cálculo end'!J52+1,LEN('Cálculo end'!L52)-'Cálculo end'!J52-4),"")</f>
        <v/>
      </c>
      <c r="B60" s="5" t="str">
        <f>IFERROR(MID('Cálculo end'!L52,'Cálculo end'!F52+1,'Cálculo end'!G52-'Cálculo end'!F52-1),"")</f>
        <v/>
      </c>
      <c r="C60" s="5" t="str">
        <f>IFERROR(MID('Cálculo end'!L52,1,'Cálculo end'!F52-1),"")</f>
        <v/>
      </c>
      <c r="D60" s="5" t="str">
        <f>IFERROR(MID('Cálculo end'!L52,'Cálculo end'!H52+1,'Cálculo end'!I52-'Cálculo end'!H52-1),"")</f>
        <v/>
      </c>
      <c r="E60" s="5" t="str">
        <f>IFERROR(MID('Cálculo end'!L52,'Cálculo end'!G52+1,'Cálculo end'!H52-'Cálculo end'!G52-1),"")</f>
        <v/>
      </c>
      <c r="F60" s="6" t="str">
        <f>IFERROR(DATEVALUE(MID('Cálculo end'!L52,'Cálculo end'!I52+1,'Cálculo end'!J52-'Cálculo end'!I52-1)),"")</f>
        <v/>
      </c>
      <c r="G60" s="5"/>
      <c r="H60" s="11" t="str">
        <f>IF(Tabela1[[#This Row],[NOME:]]&lt;&gt;"",HYPERLINK(CONCATENATE('Cálculo end'!$C$1,"\",Tabela1[[#This Row],[TÉCNICA:]],"\",'Cálculo end'!L52),"Link Certificado"),"")</f>
        <v/>
      </c>
      <c r="I60" s="9" t="str">
        <f>IF(Tabela1[[#This Row],[NOME:]]&lt;&gt;"",HYPERLINK(VLOOKUP(Tabela1[[#This Row],[NOME:]],'Cálculo Acuidade'!R:W,6,FALSE),"Link Acuidade"),"")</f>
        <v/>
      </c>
      <c r="J60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1" spans="1:10">
      <c r="A61" s="4" t="str">
        <f>IFERROR(MID('Cálculo end'!L53,'Cálculo end'!J53+1,LEN('Cálculo end'!L53)-'Cálculo end'!J53-4),"")</f>
        <v/>
      </c>
      <c r="B61" s="5" t="str">
        <f>IFERROR(MID('Cálculo end'!L53,'Cálculo end'!F53+1,'Cálculo end'!G53-'Cálculo end'!F53-1),"")</f>
        <v/>
      </c>
      <c r="C61" s="5" t="str">
        <f>IFERROR(MID('Cálculo end'!L53,1,'Cálculo end'!F53-1),"")</f>
        <v/>
      </c>
      <c r="D61" s="5" t="str">
        <f>IFERROR(MID('Cálculo end'!L53,'Cálculo end'!H53+1,'Cálculo end'!I53-'Cálculo end'!H53-1),"")</f>
        <v/>
      </c>
      <c r="E61" s="5" t="str">
        <f>IFERROR(MID('Cálculo end'!L53,'Cálculo end'!G53+1,'Cálculo end'!H53-'Cálculo end'!G53-1),"")</f>
        <v/>
      </c>
      <c r="F61" s="6" t="str">
        <f>IFERROR(DATEVALUE(MID('Cálculo end'!L53,'Cálculo end'!I53+1,'Cálculo end'!J53-'Cálculo end'!I53-1)),"")</f>
        <v/>
      </c>
      <c r="G61" s="5"/>
      <c r="H61" s="11" t="str">
        <f>IF(Tabela1[[#This Row],[NOME:]]&lt;&gt;"",HYPERLINK(CONCATENATE('Cálculo end'!$C$1,"\",Tabela1[[#This Row],[TÉCNICA:]],"\",'Cálculo end'!L53),"Link Certificado"),"")</f>
        <v/>
      </c>
      <c r="I61" s="9" t="str">
        <f>IF(Tabela1[[#This Row],[NOME:]]&lt;&gt;"",HYPERLINK(VLOOKUP(Tabela1[[#This Row],[NOME:]],'Cálculo Acuidade'!R:W,6,FALSE),"Link Acuidade"),"")</f>
        <v/>
      </c>
      <c r="J61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2" spans="1:10">
      <c r="A62" s="4" t="str">
        <f>IFERROR(MID('Cálculo end'!L54,'Cálculo end'!J54+1,LEN('Cálculo end'!L54)-'Cálculo end'!J54-4),"")</f>
        <v/>
      </c>
      <c r="B62" s="5" t="str">
        <f>IFERROR(MID('Cálculo end'!L54,'Cálculo end'!F54+1,'Cálculo end'!G54-'Cálculo end'!F54-1),"")</f>
        <v/>
      </c>
      <c r="C62" s="5" t="str">
        <f>IFERROR(MID('Cálculo end'!L54,1,'Cálculo end'!F54-1),"")</f>
        <v/>
      </c>
      <c r="D62" s="5" t="str">
        <f>IFERROR(MID('Cálculo end'!L54,'Cálculo end'!H54+1,'Cálculo end'!I54-'Cálculo end'!H54-1),"")</f>
        <v/>
      </c>
      <c r="E62" s="5" t="str">
        <f>IFERROR(MID('Cálculo end'!L54,'Cálculo end'!G54+1,'Cálculo end'!H54-'Cálculo end'!G54-1),"")</f>
        <v/>
      </c>
      <c r="F62" s="6" t="str">
        <f>IFERROR(DATEVALUE(MID('Cálculo end'!L54,'Cálculo end'!I54+1,'Cálculo end'!J54-'Cálculo end'!I54-1)),"")</f>
        <v/>
      </c>
      <c r="G62" s="5"/>
      <c r="H62" s="11" t="str">
        <f>IF(Tabela1[[#This Row],[NOME:]]&lt;&gt;"",HYPERLINK(CONCATENATE('Cálculo end'!$C$1,"\",Tabela1[[#This Row],[TÉCNICA:]],"\",'Cálculo end'!L54),"Link Certificado"),"")</f>
        <v/>
      </c>
      <c r="I62" s="9" t="str">
        <f>IF(Tabela1[[#This Row],[NOME:]]&lt;&gt;"",HYPERLINK(VLOOKUP(Tabela1[[#This Row],[NOME:]],'Cálculo Acuidade'!R:W,6,FALSE),"Link Acuidade"),"")</f>
        <v/>
      </c>
      <c r="J62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3" spans="1:10">
      <c r="A63" s="4" t="str">
        <f>IFERROR(MID('Cálculo end'!L55,'Cálculo end'!J55+1,LEN('Cálculo end'!L55)-'Cálculo end'!J55-4),"")</f>
        <v/>
      </c>
      <c r="B63" s="5" t="str">
        <f>IFERROR(MID('Cálculo end'!L55,'Cálculo end'!F55+1,'Cálculo end'!G55-'Cálculo end'!F55-1),"")</f>
        <v/>
      </c>
      <c r="C63" s="5" t="str">
        <f>IFERROR(MID('Cálculo end'!L55,1,'Cálculo end'!F55-1),"")</f>
        <v/>
      </c>
      <c r="D63" s="5" t="str">
        <f>IFERROR(MID('Cálculo end'!L55,'Cálculo end'!H55+1,'Cálculo end'!I55-'Cálculo end'!H55-1),"")</f>
        <v/>
      </c>
      <c r="E63" s="5" t="str">
        <f>IFERROR(MID('Cálculo end'!L55,'Cálculo end'!G55+1,'Cálculo end'!H55-'Cálculo end'!G55-1),"")</f>
        <v/>
      </c>
      <c r="F63" s="6" t="str">
        <f>IFERROR(DATEVALUE(MID('Cálculo end'!L55,'Cálculo end'!I55+1,'Cálculo end'!J55-'Cálculo end'!I55-1)),"")</f>
        <v/>
      </c>
      <c r="G63" s="5"/>
      <c r="H63" s="11" t="str">
        <f>IF(Tabela1[[#This Row],[NOME:]]&lt;&gt;"",HYPERLINK(CONCATENATE('Cálculo end'!$C$1,"\",Tabela1[[#This Row],[TÉCNICA:]],"\",'Cálculo end'!L55),"Link Certificado"),"")</f>
        <v/>
      </c>
      <c r="I63" s="9" t="str">
        <f>IF(Tabela1[[#This Row],[NOME:]]&lt;&gt;"",HYPERLINK(VLOOKUP(Tabela1[[#This Row],[NOME:]],'Cálculo Acuidade'!R:W,6,FALSE),"Link Acuidade"),"")</f>
        <v/>
      </c>
      <c r="J63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4" spans="1:10">
      <c r="A64" s="4" t="str">
        <f>IFERROR(MID('Cálculo end'!L56,'Cálculo end'!J56+1,LEN('Cálculo end'!L56)-'Cálculo end'!J56-4),"")</f>
        <v/>
      </c>
      <c r="B64" s="5" t="str">
        <f>IFERROR(MID('Cálculo end'!L56,'Cálculo end'!F56+1,'Cálculo end'!G56-'Cálculo end'!F56-1),"")</f>
        <v/>
      </c>
      <c r="C64" s="5" t="str">
        <f>IFERROR(MID('Cálculo end'!L56,1,'Cálculo end'!F56-1),"")</f>
        <v/>
      </c>
      <c r="D64" s="5" t="str">
        <f>IFERROR(MID('Cálculo end'!L56,'Cálculo end'!H56+1,'Cálculo end'!I56-'Cálculo end'!H56-1),"")</f>
        <v/>
      </c>
      <c r="E64" s="5" t="str">
        <f>IFERROR(MID('Cálculo end'!L56,'Cálculo end'!G56+1,'Cálculo end'!H56-'Cálculo end'!G56-1),"")</f>
        <v/>
      </c>
      <c r="F64" s="6" t="str">
        <f>IFERROR(DATEVALUE(MID('Cálculo end'!L56,'Cálculo end'!I56+1,'Cálculo end'!J56-'Cálculo end'!I56-1)),"")</f>
        <v/>
      </c>
      <c r="G64" s="5"/>
      <c r="H64" s="11" t="str">
        <f>IF(Tabela1[[#This Row],[NOME:]]&lt;&gt;"",HYPERLINK(CONCATENATE('Cálculo end'!$C$1,"\",Tabela1[[#This Row],[TÉCNICA:]],"\",'Cálculo end'!L56),"Link Certificado"),"")</f>
        <v/>
      </c>
      <c r="I64" s="9" t="str">
        <f>IF(Tabela1[[#This Row],[NOME:]]&lt;&gt;"",HYPERLINK(VLOOKUP(Tabela1[[#This Row],[NOME:]],'Cálculo Acuidade'!R:W,6,FALSE),"Link Acuidade"),"")</f>
        <v/>
      </c>
      <c r="J64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5" spans="1:10">
      <c r="A65" s="4" t="str">
        <f>IFERROR(MID('Cálculo end'!L57,'Cálculo end'!J57+1,LEN('Cálculo end'!L57)-'Cálculo end'!J57-4),"")</f>
        <v/>
      </c>
      <c r="B65" s="5" t="str">
        <f>IFERROR(MID('Cálculo end'!L57,'Cálculo end'!F57+1,'Cálculo end'!G57-'Cálculo end'!F57-1),"")</f>
        <v/>
      </c>
      <c r="C65" s="5" t="str">
        <f>IFERROR(MID('Cálculo end'!L57,1,'Cálculo end'!F57-1),"")</f>
        <v/>
      </c>
      <c r="D65" s="5" t="str">
        <f>IFERROR(MID('Cálculo end'!L57,'Cálculo end'!H57+1,'Cálculo end'!I57-'Cálculo end'!H57-1),"")</f>
        <v/>
      </c>
      <c r="E65" s="5" t="str">
        <f>IFERROR(MID('Cálculo end'!L57,'Cálculo end'!G57+1,'Cálculo end'!H57-'Cálculo end'!G57-1),"")</f>
        <v/>
      </c>
      <c r="F65" s="6" t="str">
        <f>IFERROR(DATEVALUE(MID('Cálculo end'!L57,'Cálculo end'!I57+1,'Cálculo end'!J57-'Cálculo end'!I57-1)),"")</f>
        <v/>
      </c>
      <c r="G65" s="5"/>
      <c r="H65" s="11" t="str">
        <f>IF(Tabela1[[#This Row],[NOME:]]&lt;&gt;"",HYPERLINK(CONCATENATE('Cálculo end'!$C$1,"\",Tabela1[[#This Row],[TÉCNICA:]],"\",'Cálculo end'!L57),"Link Certificado"),"")</f>
        <v/>
      </c>
      <c r="I65" s="9" t="str">
        <f>IF(Tabela1[[#This Row],[NOME:]]&lt;&gt;"",HYPERLINK(VLOOKUP(Tabela1[[#This Row],[NOME:]],'Cálculo Acuidade'!R:W,6,FALSE),"Link Acuidade"),"")</f>
        <v/>
      </c>
      <c r="J65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6" spans="1:10">
      <c r="A66" s="4" t="str">
        <f>IFERROR(MID('Cálculo end'!L58,'Cálculo end'!J58+1,LEN('Cálculo end'!L58)-'Cálculo end'!J58-4),"")</f>
        <v/>
      </c>
      <c r="B66" s="5" t="str">
        <f>IFERROR(MID('Cálculo end'!L58,'Cálculo end'!F58+1,'Cálculo end'!G58-'Cálculo end'!F58-1),"")</f>
        <v/>
      </c>
      <c r="C66" s="5" t="str">
        <f>IFERROR(MID('Cálculo end'!L58,1,'Cálculo end'!F58-1),"")</f>
        <v/>
      </c>
      <c r="D66" s="5" t="str">
        <f>IFERROR(MID('Cálculo end'!L58,'Cálculo end'!H58+1,'Cálculo end'!I58-'Cálculo end'!H58-1),"")</f>
        <v/>
      </c>
      <c r="E66" s="5" t="str">
        <f>IFERROR(MID('Cálculo end'!L58,'Cálculo end'!G58+1,'Cálculo end'!H58-'Cálculo end'!G58-1),"")</f>
        <v/>
      </c>
      <c r="F66" s="6" t="str">
        <f>IFERROR(DATEVALUE(MID('Cálculo end'!L58,'Cálculo end'!I58+1,'Cálculo end'!J58-'Cálculo end'!I58-1)),"")</f>
        <v/>
      </c>
      <c r="G66" s="5"/>
      <c r="H66" s="11" t="str">
        <f>IF(Tabela1[[#This Row],[NOME:]]&lt;&gt;"",HYPERLINK(CONCATENATE('Cálculo end'!$C$1,"\",Tabela1[[#This Row],[TÉCNICA:]],"\",'Cálculo end'!L58),"Link Certificado"),"")</f>
        <v/>
      </c>
      <c r="I66" s="9" t="str">
        <f>IF(Tabela1[[#This Row],[NOME:]]&lt;&gt;"",HYPERLINK(VLOOKUP(Tabela1[[#This Row],[NOME:]],'Cálculo Acuidade'!R:W,6,FALSE),"Link Acuidade"),"")</f>
        <v/>
      </c>
      <c r="J66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7" spans="1:10">
      <c r="A67" s="4" t="str">
        <f>IFERROR(MID('Cálculo end'!L59,'Cálculo end'!J59+1,LEN('Cálculo end'!L59)-'Cálculo end'!J59-4),"")</f>
        <v/>
      </c>
      <c r="B67" s="5" t="str">
        <f>IFERROR(MID('Cálculo end'!L59,'Cálculo end'!F59+1,'Cálculo end'!G59-'Cálculo end'!F59-1),"")</f>
        <v/>
      </c>
      <c r="C67" s="5" t="str">
        <f>IFERROR(MID('Cálculo end'!L59,1,'Cálculo end'!F59-1),"")</f>
        <v/>
      </c>
      <c r="D67" s="5" t="str">
        <f>IFERROR(MID('Cálculo end'!L59,'Cálculo end'!H59+1,'Cálculo end'!I59-'Cálculo end'!H59-1),"")</f>
        <v/>
      </c>
      <c r="E67" s="5" t="str">
        <f>IFERROR(MID('Cálculo end'!L59,'Cálculo end'!G59+1,'Cálculo end'!H59-'Cálculo end'!G59-1),"")</f>
        <v/>
      </c>
      <c r="F67" s="6" t="str">
        <f>IFERROR(DATEVALUE(MID('Cálculo end'!L59,'Cálculo end'!I59+1,'Cálculo end'!J59-'Cálculo end'!I59-1)),"")</f>
        <v/>
      </c>
      <c r="G67" s="5"/>
      <c r="H67" s="11" t="str">
        <f>IF(Tabela1[[#This Row],[NOME:]]&lt;&gt;"",HYPERLINK(CONCATENATE('Cálculo end'!$C$1,"\",Tabela1[[#This Row],[TÉCNICA:]],"\",'Cálculo end'!L59),"Link Certificado"),"")</f>
        <v/>
      </c>
      <c r="I67" s="9" t="str">
        <f>IF(Tabela1[[#This Row],[NOME:]]&lt;&gt;"",HYPERLINK(VLOOKUP(Tabela1[[#This Row],[NOME:]],'Cálculo Acuidade'!R:W,6,FALSE),"Link Acuidade"),"")</f>
        <v/>
      </c>
      <c r="J67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8" spans="1:10">
      <c r="A68" s="4" t="str">
        <f>IFERROR(MID('Cálculo end'!L60,'Cálculo end'!J60+1,LEN('Cálculo end'!L60)-'Cálculo end'!J60-4),"")</f>
        <v/>
      </c>
      <c r="B68" s="5" t="str">
        <f>IFERROR(MID('Cálculo end'!L60,'Cálculo end'!F60+1,'Cálculo end'!G60-'Cálculo end'!F60-1),"")</f>
        <v/>
      </c>
      <c r="C68" s="5" t="str">
        <f>IFERROR(MID('Cálculo end'!L60,1,'Cálculo end'!F60-1),"")</f>
        <v/>
      </c>
      <c r="D68" s="5" t="str">
        <f>IFERROR(MID('Cálculo end'!L60,'Cálculo end'!H60+1,'Cálculo end'!I60-'Cálculo end'!H60-1),"")</f>
        <v/>
      </c>
      <c r="E68" s="5" t="str">
        <f>IFERROR(MID('Cálculo end'!L60,'Cálculo end'!G60+1,'Cálculo end'!H60-'Cálculo end'!G60-1),"")</f>
        <v/>
      </c>
      <c r="F68" s="6" t="str">
        <f>IFERROR(DATEVALUE(MID('Cálculo end'!L60,'Cálculo end'!I60+1,'Cálculo end'!J60-'Cálculo end'!I60-1)),"")</f>
        <v/>
      </c>
      <c r="G68" s="5"/>
      <c r="H68" s="11" t="str">
        <f>IF(Tabela1[[#This Row],[NOME:]]&lt;&gt;"",HYPERLINK(CONCATENATE('Cálculo end'!$C$1,"\",Tabela1[[#This Row],[TÉCNICA:]],"\",'Cálculo end'!L60),"Link Certificado"),"")</f>
        <v/>
      </c>
      <c r="I68" s="9" t="str">
        <f>IF(Tabela1[[#This Row],[NOME:]]&lt;&gt;"",HYPERLINK(VLOOKUP(Tabela1[[#This Row],[NOME:]],'Cálculo Acuidade'!R:W,6,FALSE),"Link Acuidade"),"")</f>
        <v/>
      </c>
      <c r="J68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69" spans="1:10">
      <c r="A69" s="4" t="str">
        <f>IFERROR(MID('Cálculo end'!L61,'Cálculo end'!J61+1,LEN('Cálculo end'!L61)-'Cálculo end'!J61-4),"")</f>
        <v/>
      </c>
      <c r="B69" s="5" t="str">
        <f>IFERROR(MID('Cálculo end'!L61,'Cálculo end'!F61+1,'Cálculo end'!G61-'Cálculo end'!F61-1),"")</f>
        <v/>
      </c>
      <c r="C69" s="5" t="str">
        <f>IFERROR(MID('Cálculo end'!L61,1,'Cálculo end'!F61-1),"")</f>
        <v/>
      </c>
      <c r="D69" s="5" t="str">
        <f>IFERROR(MID('Cálculo end'!L61,'Cálculo end'!H61+1,'Cálculo end'!I61-'Cálculo end'!H61-1),"")</f>
        <v/>
      </c>
      <c r="E69" s="5" t="str">
        <f>IFERROR(MID('Cálculo end'!L61,'Cálculo end'!G61+1,'Cálculo end'!H61-'Cálculo end'!G61-1),"")</f>
        <v/>
      </c>
      <c r="F69" s="6" t="str">
        <f>IFERROR(DATEVALUE(MID('Cálculo end'!L61,'Cálculo end'!I61+1,'Cálculo end'!J61-'Cálculo end'!I61-1)),"")</f>
        <v/>
      </c>
      <c r="G69" s="5"/>
      <c r="H69" s="11" t="str">
        <f>IF(Tabela1[[#This Row],[NOME:]]&lt;&gt;"",HYPERLINK(CONCATENATE('Cálculo end'!$C$1,"\",Tabela1[[#This Row],[TÉCNICA:]],"\",'Cálculo end'!L61),"Link Certificado"),"")</f>
        <v/>
      </c>
      <c r="I69" s="9" t="str">
        <f>IF(Tabela1[[#This Row],[NOME:]]&lt;&gt;"",HYPERLINK(VLOOKUP(Tabela1[[#This Row],[NOME:]],'Cálculo Acuidade'!R:W,6,FALSE),"Link Acuidade"),"")</f>
        <v/>
      </c>
      <c r="J69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0" spans="1:10">
      <c r="A70" s="4" t="str">
        <f>IFERROR(MID('Cálculo end'!L62,'Cálculo end'!J62+1,LEN('Cálculo end'!L62)-'Cálculo end'!J62-4),"")</f>
        <v/>
      </c>
      <c r="B70" s="5" t="str">
        <f>IFERROR(MID('Cálculo end'!L62,'Cálculo end'!F62+1,'Cálculo end'!G62-'Cálculo end'!F62-1),"")</f>
        <v/>
      </c>
      <c r="C70" s="5" t="str">
        <f>IFERROR(MID('Cálculo end'!L62,1,'Cálculo end'!F62-1),"")</f>
        <v/>
      </c>
      <c r="D70" s="5" t="str">
        <f>IFERROR(MID('Cálculo end'!L62,'Cálculo end'!H62+1,'Cálculo end'!I62-'Cálculo end'!H62-1),"")</f>
        <v/>
      </c>
      <c r="E70" s="5" t="str">
        <f>IFERROR(MID('Cálculo end'!L62,'Cálculo end'!G62+1,'Cálculo end'!H62-'Cálculo end'!G62-1),"")</f>
        <v/>
      </c>
      <c r="F70" s="6" t="str">
        <f>IFERROR(DATEVALUE(MID('Cálculo end'!L62,'Cálculo end'!I62+1,'Cálculo end'!J62-'Cálculo end'!I62-1)),"")</f>
        <v/>
      </c>
      <c r="G70" s="5"/>
      <c r="H70" s="11" t="str">
        <f>IF(Tabela1[[#This Row],[NOME:]]&lt;&gt;"",HYPERLINK(CONCATENATE('Cálculo end'!$C$1,"\",Tabela1[[#This Row],[TÉCNICA:]],"\",'Cálculo end'!L62),"Link Certificado"),"")</f>
        <v/>
      </c>
      <c r="I70" s="9" t="str">
        <f>IF(Tabela1[[#This Row],[NOME:]]&lt;&gt;"",HYPERLINK(VLOOKUP(Tabela1[[#This Row],[NOME:]],'Cálculo Acuidade'!R:W,6,FALSE),"Link Acuidade"),"")</f>
        <v/>
      </c>
      <c r="J70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1" spans="1:10">
      <c r="A71" s="4" t="str">
        <f>IFERROR(MID('Cálculo end'!L63,'Cálculo end'!J63+1,LEN('Cálculo end'!L63)-'Cálculo end'!J63-4),"")</f>
        <v/>
      </c>
      <c r="B71" s="5" t="str">
        <f>IFERROR(MID('Cálculo end'!L63,'Cálculo end'!F63+1,'Cálculo end'!G63-'Cálculo end'!F63-1),"")</f>
        <v/>
      </c>
      <c r="C71" s="5" t="str">
        <f>IFERROR(MID('Cálculo end'!L63,1,'Cálculo end'!F63-1),"")</f>
        <v/>
      </c>
      <c r="D71" s="5" t="str">
        <f>IFERROR(MID('Cálculo end'!L63,'Cálculo end'!H63+1,'Cálculo end'!I63-'Cálculo end'!H63-1),"")</f>
        <v/>
      </c>
      <c r="E71" s="5" t="str">
        <f>IFERROR(MID('Cálculo end'!L63,'Cálculo end'!G63+1,'Cálculo end'!H63-'Cálculo end'!G63-1),"")</f>
        <v/>
      </c>
      <c r="F71" s="6" t="str">
        <f>IFERROR(DATEVALUE(MID('Cálculo end'!L63,'Cálculo end'!I63+1,'Cálculo end'!J63-'Cálculo end'!I63-1)),"")</f>
        <v/>
      </c>
      <c r="G71" s="5"/>
      <c r="H71" s="11" t="str">
        <f>IF(Tabela1[[#This Row],[NOME:]]&lt;&gt;"",HYPERLINK(CONCATENATE('Cálculo end'!$C$1,"\",Tabela1[[#This Row],[TÉCNICA:]],"\",'Cálculo end'!L63),"Link Certificado"),"")</f>
        <v/>
      </c>
      <c r="I71" s="9" t="str">
        <f>IF(Tabela1[[#This Row],[NOME:]]&lt;&gt;"",HYPERLINK(VLOOKUP(Tabela1[[#This Row],[NOME:]],'Cálculo Acuidade'!R:W,6,FALSE),"Link Acuidade"),"")</f>
        <v/>
      </c>
      <c r="J71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2" spans="1:10">
      <c r="A72" s="4" t="str">
        <f>IFERROR(MID('Cálculo end'!L64,'Cálculo end'!J64+1,LEN('Cálculo end'!L64)-'Cálculo end'!J64-4),"")</f>
        <v/>
      </c>
      <c r="B72" s="5" t="str">
        <f>IFERROR(MID('Cálculo end'!L64,'Cálculo end'!F64+1,'Cálculo end'!G64-'Cálculo end'!F64-1),"")</f>
        <v/>
      </c>
      <c r="C72" s="5" t="str">
        <f>IFERROR(MID('Cálculo end'!L64,1,'Cálculo end'!F64-1),"")</f>
        <v/>
      </c>
      <c r="D72" s="5" t="str">
        <f>IFERROR(MID('Cálculo end'!L64,'Cálculo end'!H64+1,'Cálculo end'!I64-'Cálculo end'!H64-1),"")</f>
        <v/>
      </c>
      <c r="E72" s="5" t="str">
        <f>IFERROR(MID('Cálculo end'!L64,'Cálculo end'!G64+1,'Cálculo end'!H64-'Cálculo end'!G64-1),"")</f>
        <v/>
      </c>
      <c r="F72" s="6" t="str">
        <f>IFERROR(DATEVALUE(MID('Cálculo end'!L64,'Cálculo end'!I64+1,'Cálculo end'!J64-'Cálculo end'!I64-1)),"")</f>
        <v/>
      </c>
      <c r="G72" s="5"/>
      <c r="H72" s="11" t="str">
        <f>IF(Tabela1[[#This Row],[NOME:]]&lt;&gt;"",HYPERLINK(CONCATENATE('Cálculo end'!$C$1,"\",Tabela1[[#This Row],[TÉCNICA:]],"\",'Cálculo end'!L64),"Link Certificado"),"")</f>
        <v/>
      </c>
      <c r="I72" s="9" t="str">
        <f>IF(Tabela1[[#This Row],[NOME:]]&lt;&gt;"",HYPERLINK(VLOOKUP(Tabela1[[#This Row],[NOME:]],'Cálculo Acuidade'!R:W,6,FALSE),"Link Acuidade"),"")</f>
        <v/>
      </c>
      <c r="J72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3" spans="1:10">
      <c r="A73" s="4" t="str">
        <f>IFERROR(MID('Cálculo end'!L65,'Cálculo end'!J65+1,LEN('Cálculo end'!L65)-'Cálculo end'!J65-4),"")</f>
        <v/>
      </c>
      <c r="B73" s="5" t="str">
        <f>IFERROR(MID('Cálculo end'!L65,'Cálculo end'!F65+1,'Cálculo end'!G65-'Cálculo end'!F65-1),"")</f>
        <v/>
      </c>
      <c r="C73" s="5" t="str">
        <f>IFERROR(MID('Cálculo end'!L65,1,'Cálculo end'!F65-1),"")</f>
        <v/>
      </c>
      <c r="D73" s="5" t="str">
        <f>IFERROR(MID('Cálculo end'!L65,'Cálculo end'!H65+1,'Cálculo end'!I65-'Cálculo end'!H65-1),"")</f>
        <v/>
      </c>
      <c r="E73" s="5" t="str">
        <f>IFERROR(MID('Cálculo end'!L65,'Cálculo end'!G65+1,'Cálculo end'!H65-'Cálculo end'!G65-1),"")</f>
        <v/>
      </c>
      <c r="F73" s="6" t="str">
        <f>IFERROR(DATEVALUE(MID('Cálculo end'!L65,'Cálculo end'!I65+1,'Cálculo end'!J65-'Cálculo end'!I65-1)),"")</f>
        <v/>
      </c>
      <c r="G73" s="5"/>
      <c r="H73" s="11" t="str">
        <f>IF(Tabela1[[#This Row],[NOME:]]&lt;&gt;"",HYPERLINK(CONCATENATE('Cálculo end'!$C$1,"\",Tabela1[[#This Row],[TÉCNICA:]],"\",'Cálculo end'!L65),"Link Certificado"),"")</f>
        <v/>
      </c>
      <c r="I73" s="9" t="str">
        <f>IF(Tabela1[[#This Row],[NOME:]]&lt;&gt;"",HYPERLINK(VLOOKUP(Tabela1[[#This Row],[NOME:]],'Cálculo Acuidade'!R:W,6,FALSE),"Link Acuidade"),"")</f>
        <v/>
      </c>
      <c r="J73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4" spans="1:10">
      <c r="A74" s="4" t="str">
        <f>IFERROR(MID('Cálculo end'!L66,'Cálculo end'!J66+1,LEN('Cálculo end'!L66)-'Cálculo end'!J66-4),"")</f>
        <v/>
      </c>
      <c r="B74" s="5" t="str">
        <f>IFERROR(MID('Cálculo end'!L66,'Cálculo end'!F66+1,'Cálculo end'!G66-'Cálculo end'!F66-1),"")</f>
        <v/>
      </c>
      <c r="C74" s="5" t="str">
        <f>IFERROR(MID('Cálculo end'!L66,1,'Cálculo end'!F66-1),"")</f>
        <v/>
      </c>
      <c r="D74" s="5" t="str">
        <f>IFERROR(MID('Cálculo end'!L66,'Cálculo end'!H66+1,'Cálculo end'!I66-'Cálculo end'!H66-1),"")</f>
        <v/>
      </c>
      <c r="E74" s="5" t="str">
        <f>IFERROR(MID('Cálculo end'!L66,'Cálculo end'!G66+1,'Cálculo end'!H66-'Cálculo end'!G66-1),"")</f>
        <v/>
      </c>
      <c r="F74" s="6" t="str">
        <f>IFERROR(DATEVALUE(MID('Cálculo end'!L66,'Cálculo end'!I66+1,'Cálculo end'!J66-'Cálculo end'!I66-1)),"")</f>
        <v/>
      </c>
      <c r="G74" s="5"/>
      <c r="H74" s="11" t="str">
        <f>IF(Tabela1[[#This Row],[NOME:]]&lt;&gt;"",HYPERLINK(CONCATENATE('Cálculo end'!$C$1,"\",Tabela1[[#This Row],[TÉCNICA:]],"\",'Cálculo end'!L66),"Link Certificado"),"")</f>
        <v/>
      </c>
      <c r="I74" s="9" t="str">
        <f>IF(Tabela1[[#This Row],[NOME:]]&lt;&gt;"",HYPERLINK(VLOOKUP(Tabela1[[#This Row],[NOME:]],'Cálculo Acuidade'!R:W,6,FALSE),"Link Acuidade"),"")</f>
        <v/>
      </c>
      <c r="J74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5" spans="1:10">
      <c r="A75" s="4" t="str">
        <f>IFERROR(MID('Cálculo end'!L67,'Cálculo end'!J67+1,LEN('Cálculo end'!L67)-'Cálculo end'!J67-4),"")</f>
        <v/>
      </c>
      <c r="B75" s="5" t="str">
        <f>IFERROR(MID('Cálculo end'!L67,'Cálculo end'!F67+1,'Cálculo end'!G67-'Cálculo end'!F67-1),"")</f>
        <v/>
      </c>
      <c r="C75" s="5" t="str">
        <f>IFERROR(MID('Cálculo end'!L67,1,'Cálculo end'!F67-1),"")</f>
        <v/>
      </c>
      <c r="D75" s="5" t="str">
        <f>IFERROR(MID('Cálculo end'!L67,'Cálculo end'!H67+1,'Cálculo end'!I67-'Cálculo end'!H67-1),"")</f>
        <v/>
      </c>
      <c r="E75" s="5" t="str">
        <f>IFERROR(MID('Cálculo end'!L67,'Cálculo end'!G67+1,'Cálculo end'!H67-'Cálculo end'!G67-1),"")</f>
        <v/>
      </c>
      <c r="F75" s="6" t="str">
        <f>IFERROR(DATEVALUE(MID('Cálculo end'!L67,'Cálculo end'!I67+1,'Cálculo end'!J67-'Cálculo end'!I67-1)),"")</f>
        <v/>
      </c>
      <c r="G75" s="5"/>
      <c r="H75" s="11" t="str">
        <f>IF(Tabela1[[#This Row],[NOME:]]&lt;&gt;"",HYPERLINK(CONCATENATE('Cálculo end'!$C$1,"\",Tabela1[[#This Row],[TÉCNICA:]],"\",'Cálculo end'!L67),"Link Certificado"),"")</f>
        <v/>
      </c>
      <c r="I75" s="9" t="str">
        <f>IF(Tabela1[[#This Row],[NOME:]]&lt;&gt;"",HYPERLINK(VLOOKUP(Tabela1[[#This Row],[NOME:]],'Cálculo Acuidade'!R:W,6,FALSE),"Link Acuidade"),"")</f>
        <v/>
      </c>
      <c r="J75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6" spans="1:10">
      <c r="A76" s="4" t="str">
        <f>IFERROR(MID('Cálculo end'!L68,'Cálculo end'!J68+1,LEN('Cálculo end'!L68)-'Cálculo end'!J68-4),"")</f>
        <v/>
      </c>
      <c r="B76" s="5" t="str">
        <f>IFERROR(MID('Cálculo end'!L68,'Cálculo end'!F68+1,'Cálculo end'!G68-'Cálculo end'!F68-1),"")</f>
        <v/>
      </c>
      <c r="C76" s="5" t="str">
        <f>IFERROR(MID('Cálculo end'!L68,1,'Cálculo end'!F68-1),"")</f>
        <v/>
      </c>
      <c r="D76" s="5" t="str">
        <f>IFERROR(MID('Cálculo end'!L68,'Cálculo end'!H68+1,'Cálculo end'!I68-'Cálculo end'!H68-1),"")</f>
        <v/>
      </c>
      <c r="E76" s="5" t="str">
        <f>IFERROR(MID('Cálculo end'!L68,'Cálculo end'!G68+1,'Cálculo end'!H68-'Cálculo end'!G68-1),"")</f>
        <v/>
      </c>
      <c r="F76" s="6" t="str">
        <f>IFERROR(DATEVALUE(MID('Cálculo end'!L68,'Cálculo end'!I68+1,'Cálculo end'!J68-'Cálculo end'!I68-1)),"")</f>
        <v/>
      </c>
      <c r="G76" s="5"/>
      <c r="H76" s="11" t="str">
        <f>IF(Tabela1[[#This Row],[NOME:]]&lt;&gt;"",HYPERLINK(CONCATENATE('Cálculo end'!$C$1,"\",Tabela1[[#This Row],[TÉCNICA:]],"\",'Cálculo end'!L68),"Link Certificado"),"")</f>
        <v/>
      </c>
      <c r="I76" s="9" t="str">
        <f>IF(Tabela1[[#This Row],[NOME:]]&lt;&gt;"",HYPERLINK(VLOOKUP(Tabela1[[#This Row],[NOME:]],'Cálculo Acuidade'!R:W,6,FALSE),"Link Acuidade"),"")</f>
        <v/>
      </c>
      <c r="J76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7" spans="1:10">
      <c r="A77" s="4" t="str">
        <f>IFERROR(MID('Cálculo end'!L69,'Cálculo end'!J69+1,LEN('Cálculo end'!L69)-'Cálculo end'!J69-4),"")</f>
        <v/>
      </c>
      <c r="B77" s="5" t="str">
        <f>IFERROR(MID('Cálculo end'!L69,'Cálculo end'!F69+1,'Cálculo end'!G69-'Cálculo end'!F69-1),"")</f>
        <v/>
      </c>
      <c r="C77" s="5" t="str">
        <f>IFERROR(MID('Cálculo end'!L69,1,'Cálculo end'!F69-1),"")</f>
        <v/>
      </c>
      <c r="D77" s="5" t="str">
        <f>IFERROR(MID('Cálculo end'!L69,'Cálculo end'!H69+1,'Cálculo end'!I69-'Cálculo end'!H69-1),"")</f>
        <v/>
      </c>
      <c r="E77" s="5" t="str">
        <f>IFERROR(MID('Cálculo end'!L69,'Cálculo end'!G69+1,'Cálculo end'!H69-'Cálculo end'!G69-1),"")</f>
        <v/>
      </c>
      <c r="F77" s="6" t="str">
        <f>IFERROR(DATEVALUE(MID('Cálculo end'!L69,'Cálculo end'!I69+1,'Cálculo end'!J69-'Cálculo end'!I69-1)),"")</f>
        <v/>
      </c>
      <c r="G77" s="5"/>
      <c r="H77" s="11" t="str">
        <f>IF(Tabela1[[#This Row],[NOME:]]&lt;&gt;"",HYPERLINK(CONCATENATE('Cálculo end'!$C$1,"\",Tabela1[[#This Row],[TÉCNICA:]],"\",'Cálculo end'!L69),"Link Certificado"),"")</f>
        <v/>
      </c>
      <c r="I77" s="9" t="str">
        <f>IF(Tabela1[[#This Row],[NOME:]]&lt;&gt;"",HYPERLINK(VLOOKUP(Tabela1[[#This Row],[NOME:]],'Cálculo Acuidade'!R:W,6,FALSE),"Link Acuidade"),"")</f>
        <v/>
      </c>
      <c r="J77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8" spans="1:10">
      <c r="A78" s="4" t="str">
        <f>IFERROR(MID('Cálculo end'!L70,'Cálculo end'!J70+1,LEN('Cálculo end'!L70)-'Cálculo end'!J70-4),"")</f>
        <v/>
      </c>
      <c r="B78" s="5" t="str">
        <f>IFERROR(MID('Cálculo end'!L70,'Cálculo end'!F70+1,'Cálculo end'!G70-'Cálculo end'!F70-1),"")</f>
        <v/>
      </c>
      <c r="C78" s="5" t="str">
        <f>IFERROR(MID('Cálculo end'!L70,1,'Cálculo end'!F70-1),"")</f>
        <v/>
      </c>
      <c r="D78" s="5" t="str">
        <f>IFERROR(MID('Cálculo end'!L70,'Cálculo end'!H70+1,'Cálculo end'!I70-'Cálculo end'!H70-1),"")</f>
        <v/>
      </c>
      <c r="E78" s="5" t="str">
        <f>IFERROR(MID('Cálculo end'!L70,'Cálculo end'!G70+1,'Cálculo end'!H70-'Cálculo end'!G70-1),"")</f>
        <v/>
      </c>
      <c r="F78" s="6" t="str">
        <f>IFERROR(DATEVALUE(MID('Cálculo end'!L70,'Cálculo end'!I70+1,'Cálculo end'!J70-'Cálculo end'!I70-1)),"")</f>
        <v/>
      </c>
      <c r="G78" s="5"/>
      <c r="H78" s="11" t="str">
        <f>IF(Tabela1[[#This Row],[NOME:]]&lt;&gt;"",HYPERLINK(CONCATENATE('Cálculo end'!$C$1,"\",Tabela1[[#This Row],[TÉCNICA:]],"\",'Cálculo end'!L70),"Link Certificado"),"")</f>
        <v/>
      </c>
      <c r="I78" s="9" t="str">
        <f>IF(Tabela1[[#This Row],[NOME:]]&lt;&gt;"",HYPERLINK(VLOOKUP(Tabela1[[#This Row],[NOME:]],'Cálculo Acuidade'!R:W,6,FALSE),"Link Acuidade"),"")</f>
        <v/>
      </c>
      <c r="J78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79" spans="1:10">
      <c r="A79" s="4" t="str">
        <f>IFERROR(MID('Cálculo end'!L71,'Cálculo end'!J71+1,LEN('Cálculo end'!L71)-'Cálculo end'!J71-4),"")</f>
        <v/>
      </c>
      <c r="B79" s="5" t="str">
        <f>IFERROR(MID('Cálculo end'!L71,'Cálculo end'!F71+1,'Cálculo end'!G71-'Cálculo end'!F71-1),"")</f>
        <v/>
      </c>
      <c r="C79" s="5" t="str">
        <f>IFERROR(MID('Cálculo end'!L71,1,'Cálculo end'!F71-1),"")</f>
        <v/>
      </c>
      <c r="D79" s="5" t="str">
        <f>IFERROR(MID('Cálculo end'!L71,'Cálculo end'!H71+1,'Cálculo end'!I71-'Cálculo end'!H71-1),"")</f>
        <v/>
      </c>
      <c r="E79" s="5" t="str">
        <f>IFERROR(MID('Cálculo end'!L71,'Cálculo end'!G71+1,'Cálculo end'!H71-'Cálculo end'!G71-1),"")</f>
        <v/>
      </c>
      <c r="F79" s="6" t="str">
        <f>IFERROR(DATEVALUE(MID('Cálculo end'!L71,'Cálculo end'!I71+1,'Cálculo end'!J71-'Cálculo end'!I71-1)),"")</f>
        <v/>
      </c>
      <c r="G79" s="5"/>
      <c r="H79" s="11" t="str">
        <f>IF(Tabela1[[#This Row],[NOME:]]&lt;&gt;"",HYPERLINK(CONCATENATE('Cálculo end'!$C$1,"\",Tabela1[[#This Row],[TÉCNICA:]],"\",'Cálculo end'!L71),"Link Certificado"),"")</f>
        <v/>
      </c>
      <c r="I79" s="9" t="str">
        <f>IF(Tabela1[[#This Row],[NOME:]]&lt;&gt;"",HYPERLINK(VLOOKUP(Tabela1[[#This Row],[NOME:]],'Cálculo Acuidade'!R:W,6,FALSE),"Link Acuidade"),"")</f>
        <v/>
      </c>
      <c r="J79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0" spans="1:10">
      <c r="A80" s="4" t="str">
        <f>IFERROR(MID('Cálculo end'!L72,'Cálculo end'!J72+1,LEN('Cálculo end'!L72)-'Cálculo end'!J72-4),"")</f>
        <v/>
      </c>
      <c r="B80" s="5" t="str">
        <f>IFERROR(MID('Cálculo end'!L72,'Cálculo end'!F72+1,'Cálculo end'!G72-'Cálculo end'!F72-1),"")</f>
        <v/>
      </c>
      <c r="C80" s="5" t="str">
        <f>IFERROR(MID('Cálculo end'!L72,1,'Cálculo end'!F72-1),"")</f>
        <v/>
      </c>
      <c r="D80" s="5" t="str">
        <f>IFERROR(MID('Cálculo end'!L72,'Cálculo end'!H72+1,'Cálculo end'!I72-'Cálculo end'!H72-1),"")</f>
        <v/>
      </c>
      <c r="E80" s="5" t="str">
        <f>IFERROR(MID('Cálculo end'!L72,'Cálculo end'!G72+1,'Cálculo end'!H72-'Cálculo end'!G72-1),"")</f>
        <v/>
      </c>
      <c r="F80" s="6" t="str">
        <f>IFERROR(DATEVALUE(MID('Cálculo end'!L72,'Cálculo end'!I72+1,'Cálculo end'!J72-'Cálculo end'!I72-1)),"")</f>
        <v/>
      </c>
      <c r="G80" s="5"/>
      <c r="H80" s="11" t="str">
        <f>IF(Tabela1[[#This Row],[NOME:]]&lt;&gt;"",HYPERLINK(CONCATENATE('Cálculo end'!$C$1,"\",Tabela1[[#This Row],[TÉCNICA:]],"\",'Cálculo end'!L72),"Link Certificado"),"")</f>
        <v/>
      </c>
      <c r="I80" s="9" t="str">
        <f>IF(Tabela1[[#This Row],[NOME:]]&lt;&gt;"",HYPERLINK(VLOOKUP(Tabela1[[#This Row],[NOME:]],'Cálculo Acuidade'!R:W,6,FALSE),"Link Acuidade"),"")</f>
        <v/>
      </c>
      <c r="J80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1" spans="1:10">
      <c r="A81" s="4" t="str">
        <f>IFERROR(MID('Cálculo end'!L73,'Cálculo end'!J73+1,LEN('Cálculo end'!L73)-'Cálculo end'!J73-4),"")</f>
        <v/>
      </c>
      <c r="B81" s="5" t="str">
        <f>IFERROR(MID('Cálculo end'!L73,'Cálculo end'!F73+1,'Cálculo end'!G73-'Cálculo end'!F73-1),"")</f>
        <v/>
      </c>
      <c r="C81" s="5" t="str">
        <f>IFERROR(MID('Cálculo end'!L73,1,'Cálculo end'!F73-1),"")</f>
        <v/>
      </c>
      <c r="D81" s="5" t="str">
        <f>IFERROR(MID('Cálculo end'!L73,'Cálculo end'!H73+1,'Cálculo end'!I73-'Cálculo end'!H73-1),"")</f>
        <v/>
      </c>
      <c r="E81" s="5" t="str">
        <f>IFERROR(MID('Cálculo end'!L73,'Cálculo end'!G73+1,'Cálculo end'!H73-'Cálculo end'!G73-1),"")</f>
        <v/>
      </c>
      <c r="F81" s="6" t="str">
        <f>IFERROR(DATEVALUE(MID('Cálculo end'!L73,'Cálculo end'!I73+1,'Cálculo end'!J73-'Cálculo end'!I73-1)),"")</f>
        <v/>
      </c>
      <c r="G81" s="5"/>
      <c r="H81" s="11" t="str">
        <f>IF(Tabela1[[#This Row],[NOME:]]&lt;&gt;"",HYPERLINK(CONCATENATE('Cálculo end'!$C$1,"\",Tabela1[[#This Row],[TÉCNICA:]],"\",'Cálculo end'!L73),"Link Certificado"),"")</f>
        <v/>
      </c>
      <c r="I81" s="9" t="str">
        <f>IF(Tabela1[[#This Row],[NOME:]]&lt;&gt;"",HYPERLINK(VLOOKUP(Tabela1[[#This Row],[NOME:]],'Cálculo Acuidade'!R:W,6,FALSE),"Link Acuidade"),"")</f>
        <v/>
      </c>
      <c r="J81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2" spans="1:10">
      <c r="A82" s="4" t="str">
        <f>IFERROR(MID('Cálculo end'!L74,'Cálculo end'!J74+1,LEN('Cálculo end'!L74)-'Cálculo end'!J74-4),"")</f>
        <v/>
      </c>
      <c r="B82" s="5" t="str">
        <f>IFERROR(MID('Cálculo end'!L74,'Cálculo end'!F74+1,'Cálculo end'!G74-'Cálculo end'!F74-1),"")</f>
        <v/>
      </c>
      <c r="C82" s="5" t="str">
        <f>IFERROR(MID('Cálculo end'!L74,1,'Cálculo end'!F74-1),"")</f>
        <v/>
      </c>
      <c r="D82" s="5" t="str">
        <f>IFERROR(MID('Cálculo end'!L74,'Cálculo end'!H74+1,'Cálculo end'!I74-'Cálculo end'!H74-1),"")</f>
        <v/>
      </c>
      <c r="E82" s="5" t="str">
        <f>IFERROR(MID('Cálculo end'!L74,'Cálculo end'!G74+1,'Cálculo end'!H74-'Cálculo end'!G74-1),"")</f>
        <v/>
      </c>
      <c r="F82" s="6" t="str">
        <f>IFERROR(DATEVALUE(MID('Cálculo end'!L74,'Cálculo end'!I74+1,'Cálculo end'!J74-'Cálculo end'!I74-1)),"")</f>
        <v/>
      </c>
      <c r="G82" s="5"/>
      <c r="H82" s="11" t="str">
        <f>IF(Tabela1[[#This Row],[NOME:]]&lt;&gt;"",HYPERLINK(CONCATENATE('Cálculo end'!$C$1,"\",Tabela1[[#This Row],[TÉCNICA:]],"\",'Cálculo end'!L74),"Link Certificado"),"")</f>
        <v/>
      </c>
      <c r="I82" s="9" t="str">
        <f>IF(Tabela1[[#This Row],[NOME:]]&lt;&gt;"",HYPERLINK(VLOOKUP(Tabela1[[#This Row],[NOME:]],'Cálculo Acuidade'!R:W,6,FALSE),"Link Acuidade"),"")</f>
        <v/>
      </c>
      <c r="J82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3" spans="1:10">
      <c r="A83" s="4" t="str">
        <f>IFERROR(MID('Cálculo end'!L75,'Cálculo end'!J75+1,LEN('Cálculo end'!L75)-'Cálculo end'!J75-4),"")</f>
        <v/>
      </c>
      <c r="B83" s="5" t="str">
        <f>IFERROR(MID('Cálculo end'!L75,'Cálculo end'!F75+1,'Cálculo end'!G75-'Cálculo end'!F75-1),"")</f>
        <v/>
      </c>
      <c r="C83" s="5" t="str">
        <f>IFERROR(MID('Cálculo end'!L75,1,'Cálculo end'!F75-1),"")</f>
        <v/>
      </c>
      <c r="D83" s="5" t="str">
        <f>IFERROR(MID('Cálculo end'!L75,'Cálculo end'!H75+1,'Cálculo end'!I75-'Cálculo end'!H75-1),"")</f>
        <v/>
      </c>
      <c r="E83" s="5" t="str">
        <f>IFERROR(MID('Cálculo end'!L75,'Cálculo end'!G75+1,'Cálculo end'!H75-'Cálculo end'!G75-1),"")</f>
        <v/>
      </c>
      <c r="F83" s="6" t="str">
        <f>IFERROR(DATEVALUE(MID('Cálculo end'!L75,'Cálculo end'!I75+1,'Cálculo end'!J75-'Cálculo end'!I75-1)),"")</f>
        <v/>
      </c>
      <c r="G83" s="5"/>
      <c r="H83" s="11" t="str">
        <f>IF(Tabela1[[#This Row],[NOME:]]&lt;&gt;"",HYPERLINK(CONCATENATE('Cálculo end'!$C$1,"\",Tabela1[[#This Row],[TÉCNICA:]],"\",'Cálculo end'!L75),"Link Certificado"),"")</f>
        <v/>
      </c>
      <c r="I83" s="9" t="str">
        <f>IF(Tabela1[[#This Row],[NOME:]]&lt;&gt;"",HYPERLINK(VLOOKUP(Tabela1[[#This Row],[NOME:]],'Cálculo Acuidade'!R:W,6,FALSE),"Link Acuidade"),"")</f>
        <v/>
      </c>
      <c r="J83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4" spans="1:10">
      <c r="A84" s="4" t="str">
        <f>IFERROR(MID('Cálculo end'!L76,'Cálculo end'!J76+1,LEN('Cálculo end'!L76)-'Cálculo end'!J76-4),"")</f>
        <v/>
      </c>
      <c r="B84" s="5" t="str">
        <f>IFERROR(MID('Cálculo end'!L76,'Cálculo end'!F76+1,'Cálculo end'!G76-'Cálculo end'!F76-1),"")</f>
        <v/>
      </c>
      <c r="C84" s="5" t="str">
        <f>IFERROR(MID('Cálculo end'!L76,1,'Cálculo end'!F76-1),"")</f>
        <v/>
      </c>
      <c r="D84" s="5" t="str">
        <f>IFERROR(MID('Cálculo end'!L76,'Cálculo end'!H76+1,'Cálculo end'!I76-'Cálculo end'!H76-1),"")</f>
        <v/>
      </c>
      <c r="E84" s="5" t="str">
        <f>IFERROR(MID('Cálculo end'!L76,'Cálculo end'!G76+1,'Cálculo end'!H76-'Cálculo end'!G76-1),"")</f>
        <v/>
      </c>
      <c r="F84" s="6" t="str">
        <f>IFERROR(DATEVALUE(MID('Cálculo end'!L76,'Cálculo end'!I76+1,'Cálculo end'!J76-'Cálculo end'!I76-1)),"")</f>
        <v/>
      </c>
      <c r="G84" s="5"/>
      <c r="H84" s="11" t="str">
        <f>IF(Tabela1[[#This Row],[NOME:]]&lt;&gt;"",HYPERLINK(CONCATENATE('Cálculo end'!$C$1,"\",Tabela1[[#This Row],[TÉCNICA:]],"\",'Cálculo end'!L76),"Link Certificado"),"")</f>
        <v/>
      </c>
      <c r="I84" s="9" t="str">
        <f>IF(Tabela1[[#This Row],[NOME:]]&lt;&gt;"",HYPERLINK(VLOOKUP(Tabela1[[#This Row],[NOME:]],'Cálculo Acuidade'!R:W,6,FALSE),"Link Acuidade"),"")</f>
        <v/>
      </c>
      <c r="J84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5" spans="1:10">
      <c r="A85" s="4" t="str">
        <f>IFERROR(MID('Cálculo end'!L77,'Cálculo end'!J77+1,LEN('Cálculo end'!L77)-'Cálculo end'!J77-4),"")</f>
        <v/>
      </c>
      <c r="B85" s="5" t="str">
        <f>IFERROR(MID('Cálculo end'!L77,'Cálculo end'!F77+1,'Cálculo end'!G77-'Cálculo end'!F77-1),"")</f>
        <v/>
      </c>
      <c r="C85" s="5" t="str">
        <f>IFERROR(MID('Cálculo end'!L77,1,'Cálculo end'!F77-1),"")</f>
        <v/>
      </c>
      <c r="D85" s="5" t="str">
        <f>IFERROR(MID('Cálculo end'!L77,'Cálculo end'!H77+1,'Cálculo end'!I77-'Cálculo end'!H77-1),"")</f>
        <v/>
      </c>
      <c r="E85" s="5" t="str">
        <f>IFERROR(MID('Cálculo end'!L77,'Cálculo end'!G77+1,'Cálculo end'!H77-'Cálculo end'!G77-1),"")</f>
        <v/>
      </c>
      <c r="F85" s="6" t="str">
        <f>IFERROR(DATEVALUE(MID('Cálculo end'!L77,'Cálculo end'!I77+1,'Cálculo end'!J77-'Cálculo end'!I77-1)),"")</f>
        <v/>
      </c>
      <c r="G85" s="5"/>
      <c r="H85" s="11" t="str">
        <f>IF(Tabela1[[#This Row],[NOME:]]&lt;&gt;"",HYPERLINK(CONCATENATE('Cálculo end'!$C$1,"\",Tabela1[[#This Row],[TÉCNICA:]],"\",'Cálculo end'!L77),"Link Certificado"),"")</f>
        <v/>
      </c>
      <c r="I85" s="9" t="str">
        <f>IF(Tabela1[[#This Row],[NOME:]]&lt;&gt;"",HYPERLINK(VLOOKUP(Tabela1[[#This Row],[NOME:]],'Cálculo Acuidade'!R:W,6,FALSE),"Link Acuidade"),"")</f>
        <v/>
      </c>
      <c r="J85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6" spans="1:10">
      <c r="A86" s="4" t="str">
        <f>IFERROR(MID('Cálculo end'!L78,'Cálculo end'!J78+1,LEN('Cálculo end'!L78)-'Cálculo end'!J78-4),"")</f>
        <v/>
      </c>
      <c r="B86" s="5" t="str">
        <f>IFERROR(MID('Cálculo end'!L78,'Cálculo end'!F78+1,'Cálculo end'!G78-'Cálculo end'!F78-1),"")</f>
        <v/>
      </c>
      <c r="C86" s="5" t="str">
        <f>IFERROR(MID('Cálculo end'!L78,1,'Cálculo end'!F78-1),"")</f>
        <v/>
      </c>
      <c r="D86" s="5" t="str">
        <f>IFERROR(MID('Cálculo end'!L78,'Cálculo end'!H78+1,'Cálculo end'!I78-'Cálculo end'!H78-1),"")</f>
        <v/>
      </c>
      <c r="E86" s="5" t="str">
        <f>IFERROR(MID('Cálculo end'!L78,'Cálculo end'!G78+1,'Cálculo end'!H78-'Cálculo end'!G78-1),"")</f>
        <v/>
      </c>
      <c r="F86" s="6" t="str">
        <f>IFERROR(DATEVALUE(MID('Cálculo end'!L78,'Cálculo end'!I78+1,'Cálculo end'!J78-'Cálculo end'!I78-1)),"")</f>
        <v/>
      </c>
      <c r="G86" s="5"/>
      <c r="H86" s="11" t="str">
        <f>IF(Tabela1[[#This Row],[NOME:]]&lt;&gt;"",HYPERLINK(CONCATENATE('Cálculo end'!$C$1,"\",Tabela1[[#This Row],[TÉCNICA:]],"\",'Cálculo end'!L78),"Link Certificado"),"")</f>
        <v/>
      </c>
      <c r="I86" s="9" t="str">
        <f>IF(Tabela1[[#This Row],[NOME:]]&lt;&gt;"",HYPERLINK(VLOOKUP(Tabela1[[#This Row],[NOME:]],'Cálculo Acuidade'!R:W,6,FALSE),"Link Acuidade"),"")</f>
        <v/>
      </c>
      <c r="J86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7" spans="1:10">
      <c r="A87" s="4" t="str">
        <f>IFERROR(MID('Cálculo end'!L79,'Cálculo end'!J79+1,LEN('Cálculo end'!L79)-'Cálculo end'!J79-4),"")</f>
        <v/>
      </c>
      <c r="B87" s="5" t="str">
        <f>IFERROR(MID('Cálculo end'!L79,'Cálculo end'!F79+1,'Cálculo end'!G79-'Cálculo end'!F79-1),"")</f>
        <v/>
      </c>
      <c r="C87" s="5" t="str">
        <f>IFERROR(MID('Cálculo end'!L79,1,'Cálculo end'!F79-1),"")</f>
        <v/>
      </c>
      <c r="D87" s="5" t="str">
        <f>IFERROR(MID('Cálculo end'!L79,'Cálculo end'!H79+1,'Cálculo end'!I79-'Cálculo end'!H79-1),"")</f>
        <v/>
      </c>
      <c r="E87" s="5" t="str">
        <f>IFERROR(MID('Cálculo end'!L79,'Cálculo end'!G79+1,'Cálculo end'!H79-'Cálculo end'!G79-1),"")</f>
        <v/>
      </c>
      <c r="F87" s="6" t="str">
        <f>IFERROR(DATEVALUE(MID('Cálculo end'!L79,'Cálculo end'!I79+1,'Cálculo end'!J79-'Cálculo end'!I79-1)),"")</f>
        <v/>
      </c>
      <c r="G87" s="5"/>
      <c r="H87" s="11" t="str">
        <f>IF(Tabela1[[#This Row],[NOME:]]&lt;&gt;"",HYPERLINK(CONCATENATE('Cálculo end'!$C$1,"\",Tabela1[[#This Row],[TÉCNICA:]],"\",'Cálculo end'!L79),"Link Certificado"),"")</f>
        <v/>
      </c>
      <c r="I87" s="9" t="str">
        <f>IF(Tabela1[[#This Row],[NOME:]]&lt;&gt;"",HYPERLINK(VLOOKUP(Tabela1[[#This Row],[NOME:]],'Cálculo Acuidade'!R:W,6,FALSE),"Link Acuidade"),"")</f>
        <v/>
      </c>
      <c r="J87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8" spans="1:10">
      <c r="A88" s="4" t="str">
        <f>IFERROR(MID('Cálculo end'!L80,'Cálculo end'!J80+1,LEN('Cálculo end'!L80)-'Cálculo end'!J80-4),"")</f>
        <v/>
      </c>
      <c r="B88" s="5" t="str">
        <f>IFERROR(MID('Cálculo end'!L80,'Cálculo end'!F80+1,'Cálculo end'!G80-'Cálculo end'!F80-1),"")</f>
        <v/>
      </c>
      <c r="C88" s="5" t="str">
        <f>IFERROR(MID('Cálculo end'!L80,1,'Cálculo end'!F80-1),"")</f>
        <v/>
      </c>
      <c r="D88" s="5" t="str">
        <f>IFERROR(MID('Cálculo end'!L80,'Cálculo end'!H80+1,'Cálculo end'!I80-'Cálculo end'!H80-1),"")</f>
        <v/>
      </c>
      <c r="E88" s="5" t="str">
        <f>IFERROR(MID('Cálculo end'!L80,'Cálculo end'!G80+1,'Cálculo end'!H80-'Cálculo end'!G80-1),"")</f>
        <v/>
      </c>
      <c r="F88" s="6" t="str">
        <f>IFERROR(DATEVALUE(MID('Cálculo end'!L80,'Cálculo end'!I80+1,'Cálculo end'!J80-'Cálculo end'!I80-1)),"")</f>
        <v/>
      </c>
      <c r="G88" s="5"/>
      <c r="H88" s="11" t="str">
        <f>IF(Tabela1[[#This Row],[NOME:]]&lt;&gt;"",HYPERLINK(CONCATENATE('Cálculo end'!$C$1,"\",Tabela1[[#This Row],[TÉCNICA:]],"\",'Cálculo end'!L80),"Link Certificado"),"")</f>
        <v/>
      </c>
      <c r="I88" s="9" t="str">
        <f>IF(Tabela1[[#This Row],[NOME:]]&lt;&gt;"",HYPERLINK(VLOOKUP(Tabela1[[#This Row],[NOME:]],'Cálculo Acuidade'!R:W,6,FALSE),"Link Acuidade"),"")</f>
        <v/>
      </c>
      <c r="J88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89" spans="1:10">
      <c r="A89" s="4" t="str">
        <f>IFERROR(MID('Cálculo end'!L81,'Cálculo end'!J81+1,LEN('Cálculo end'!L81)-'Cálculo end'!J81-4),"")</f>
        <v/>
      </c>
      <c r="B89" s="5" t="str">
        <f>IFERROR(MID('Cálculo end'!L81,'Cálculo end'!F81+1,'Cálculo end'!G81-'Cálculo end'!F81-1),"")</f>
        <v/>
      </c>
      <c r="C89" s="5" t="str">
        <f>IFERROR(MID('Cálculo end'!L81,1,'Cálculo end'!F81-1),"")</f>
        <v/>
      </c>
      <c r="D89" s="5" t="str">
        <f>IFERROR(MID('Cálculo end'!L81,'Cálculo end'!H81+1,'Cálculo end'!I81-'Cálculo end'!H81-1),"")</f>
        <v/>
      </c>
      <c r="E89" s="5" t="str">
        <f>IFERROR(MID('Cálculo end'!L81,'Cálculo end'!G81+1,'Cálculo end'!H81-'Cálculo end'!G81-1),"")</f>
        <v/>
      </c>
      <c r="F89" s="6" t="str">
        <f>IFERROR(DATEVALUE(MID('Cálculo end'!L81,'Cálculo end'!I81+1,'Cálculo end'!J81-'Cálculo end'!I81-1)),"")</f>
        <v/>
      </c>
      <c r="G89" s="5"/>
      <c r="H89" s="11" t="str">
        <f>IF(Tabela1[[#This Row],[NOME:]]&lt;&gt;"",HYPERLINK(CONCATENATE('Cálculo end'!$C$1,"\",Tabela1[[#This Row],[TÉCNICA:]],"\",'Cálculo end'!L81),"Link Certificado"),"")</f>
        <v/>
      </c>
      <c r="I89" s="9" t="str">
        <f>IF(Tabela1[[#This Row],[NOME:]]&lt;&gt;"",HYPERLINK(VLOOKUP(Tabela1[[#This Row],[NOME:]],'Cálculo Acuidade'!R:W,6,FALSE),"Link Acuidade"),"")</f>
        <v/>
      </c>
      <c r="J89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0" spans="1:10">
      <c r="A90" s="4" t="str">
        <f>IFERROR(MID('Cálculo end'!L82,'Cálculo end'!J82+1,LEN('Cálculo end'!L82)-'Cálculo end'!J82-4),"")</f>
        <v/>
      </c>
      <c r="B90" s="5" t="str">
        <f>IFERROR(MID('Cálculo end'!L82,'Cálculo end'!F82+1,'Cálculo end'!G82-'Cálculo end'!F82-1),"")</f>
        <v/>
      </c>
      <c r="C90" s="5" t="str">
        <f>IFERROR(MID('Cálculo end'!L82,1,'Cálculo end'!F82-1),"")</f>
        <v/>
      </c>
      <c r="D90" s="5" t="str">
        <f>IFERROR(MID('Cálculo end'!L82,'Cálculo end'!H82+1,'Cálculo end'!I82-'Cálculo end'!H82-1),"")</f>
        <v/>
      </c>
      <c r="E90" s="5" t="str">
        <f>IFERROR(MID('Cálculo end'!L82,'Cálculo end'!G82+1,'Cálculo end'!H82-'Cálculo end'!G82-1),"")</f>
        <v/>
      </c>
      <c r="F90" s="6" t="str">
        <f>IFERROR(DATEVALUE(MID('Cálculo end'!L82,'Cálculo end'!I82+1,'Cálculo end'!J82-'Cálculo end'!I82-1)),"")</f>
        <v/>
      </c>
      <c r="G90" s="5"/>
      <c r="H90" s="11" t="str">
        <f>IF(Tabela1[[#This Row],[NOME:]]&lt;&gt;"",HYPERLINK(CONCATENATE('Cálculo end'!$C$1,"\",Tabela1[[#This Row],[TÉCNICA:]],"\",'Cálculo end'!L82),"Link Certificado"),"")</f>
        <v/>
      </c>
      <c r="I90" s="9" t="str">
        <f>IF(Tabela1[[#This Row],[NOME:]]&lt;&gt;"",HYPERLINK(VLOOKUP(Tabela1[[#This Row],[NOME:]],'Cálculo Acuidade'!R:W,6,FALSE),"Link Acuidade"),"")</f>
        <v/>
      </c>
      <c r="J90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1" spans="1:10">
      <c r="A91" s="4" t="str">
        <f>IFERROR(MID('Cálculo end'!L83,'Cálculo end'!J83+1,LEN('Cálculo end'!L83)-'Cálculo end'!J83-4),"")</f>
        <v/>
      </c>
      <c r="B91" s="5" t="str">
        <f>IFERROR(MID('Cálculo end'!L83,'Cálculo end'!F83+1,'Cálculo end'!G83-'Cálculo end'!F83-1),"")</f>
        <v/>
      </c>
      <c r="C91" s="5" t="str">
        <f>IFERROR(MID('Cálculo end'!L83,1,'Cálculo end'!F83-1),"")</f>
        <v/>
      </c>
      <c r="D91" s="5" t="str">
        <f>IFERROR(MID('Cálculo end'!L83,'Cálculo end'!H83+1,'Cálculo end'!I83-'Cálculo end'!H83-1),"")</f>
        <v/>
      </c>
      <c r="E91" s="5" t="str">
        <f>IFERROR(MID('Cálculo end'!L83,'Cálculo end'!G83+1,'Cálculo end'!H83-'Cálculo end'!G83-1),"")</f>
        <v/>
      </c>
      <c r="F91" s="6" t="str">
        <f>IFERROR(DATEVALUE(MID('Cálculo end'!L83,'Cálculo end'!I83+1,'Cálculo end'!J83-'Cálculo end'!I83-1)),"")</f>
        <v/>
      </c>
      <c r="G91" s="5"/>
      <c r="H91" s="11" t="str">
        <f>IF(Tabela1[[#This Row],[NOME:]]&lt;&gt;"",HYPERLINK(CONCATENATE('Cálculo end'!$C$1,"\",Tabela1[[#This Row],[TÉCNICA:]],"\",'Cálculo end'!L83),"Link Certificado"),"")</f>
        <v/>
      </c>
      <c r="I91" s="9" t="str">
        <f>IF(Tabela1[[#This Row],[NOME:]]&lt;&gt;"",HYPERLINK(VLOOKUP(Tabela1[[#This Row],[NOME:]],'Cálculo Acuidade'!R:W,6,FALSE),"Link Acuidade"),"")</f>
        <v/>
      </c>
      <c r="J91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2" spans="1:10">
      <c r="A92" s="4" t="str">
        <f>IFERROR(MID('Cálculo end'!L84,'Cálculo end'!J84+1,LEN('Cálculo end'!L84)-'Cálculo end'!J84-4),"")</f>
        <v/>
      </c>
      <c r="B92" s="5" t="str">
        <f>IFERROR(MID('Cálculo end'!L84,'Cálculo end'!F84+1,'Cálculo end'!G84-'Cálculo end'!F84-1),"")</f>
        <v/>
      </c>
      <c r="C92" s="5" t="str">
        <f>IFERROR(MID('Cálculo end'!L84,1,'Cálculo end'!F84-1),"")</f>
        <v/>
      </c>
      <c r="D92" s="5" t="str">
        <f>IFERROR(MID('Cálculo end'!L84,'Cálculo end'!H84+1,'Cálculo end'!I84-'Cálculo end'!H84-1),"")</f>
        <v/>
      </c>
      <c r="E92" s="5" t="str">
        <f>IFERROR(MID('Cálculo end'!L84,'Cálculo end'!G84+1,'Cálculo end'!H84-'Cálculo end'!G84-1),"")</f>
        <v/>
      </c>
      <c r="F92" s="6" t="str">
        <f>IFERROR(DATEVALUE(MID('Cálculo end'!L84,'Cálculo end'!I84+1,'Cálculo end'!J84-'Cálculo end'!I84-1)),"")</f>
        <v/>
      </c>
      <c r="G92" s="5"/>
      <c r="H92" s="11" t="str">
        <f>IF(Tabela1[[#This Row],[NOME:]]&lt;&gt;"",HYPERLINK(CONCATENATE('Cálculo end'!$C$1,"\",Tabela1[[#This Row],[TÉCNICA:]],"\",'Cálculo end'!L84),"Link Certificado"),"")</f>
        <v/>
      </c>
      <c r="I92" s="9" t="str">
        <f>IF(Tabela1[[#This Row],[NOME:]]&lt;&gt;"",HYPERLINK(VLOOKUP(Tabela1[[#This Row],[NOME:]],'Cálculo Acuidade'!R:W,6,FALSE),"Link Acuidade"),"")</f>
        <v/>
      </c>
      <c r="J92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3" spans="1:10">
      <c r="A93" s="4" t="str">
        <f>IFERROR(MID('Cálculo end'!L85,'Cálculo end'!J85+1,LEN('Cálculo end'!L85)-'Cálculo end'!J85-4),"")</f>
        <v/>
      </c>
      <c r="B93" s="5" t="str">
        <f>IFERROR(MID('Cálculo end'!L85,'Cálculo end'!F85+1,'Cálculo end'!G85-'Cálculo end'!F85-1),"")</f>
        <v/>
      </c>
      <c r="C93" s="5" t="str">
        <f>IFERROR(MID('Cálculo end'!L85,1,'Cálculo end'!F85-1),"")</f>
        <v/>
      </c>
      <c r="D93" s="5" t="str">
        <f>IFERROR(MID('Cálculo end'!L85,'Cálculo end'!H85+1,'Cálculo end'!I85-'Cálculo end'!H85-1),"")</f>
        <v/>
      </c>
      <c r="E93" s="5" t="str">
        <f>IFERROR(MID('Cálculo end'!L85,'Cálculo end'!G85+1,'Cálculo end'!H85-'Cálculo end'!G85-1),"")</f>
        <v/>
      </c>
      <c r="F93" s="6" t="str">
        <f>IFERROR(DATEVALUE(MID('Cálculo end'!L85,'Cálculo end'!I85+1,'Cálculo end'!J85-'Cálculo end'!I85-1)),"")</f>
        <v/>
      </c>
      <c r="G93" s="5"/>
      <c r="H93" s="11" t="str">
        <f>IF(Tabela1[[#This Row],[NOME:]]&lt;&gt;"",HYPERLINK(CONCATENATE('Cálculo end'!$C$1,"\",Tabela1[[#This Row],[TÉCNICA:]],"\",'Cálculo end'!L85),"Link Certificado"),"")</f>
        <v/>
      </c>
      <c r="I93" s="9" t="str">
        <f>IF(Tabela1[[#This Row],[NOME:]]&lt;&gt;"",HYPERLINK(VLOOKUP(Tabela1[[#This Row],[NOME:]],'Cálculo Acuidade'!R:W,6,FALSE),"Link Acuidade"),"")</f>
        <v/>
      </c>
      <c r="J93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4" spans="1:10">
      <c r="A94" s="4" t="str">
        <f>IFERROR(MID('Cálculo end'!L86,'Cálculo end'!J86+1,LEN('Cálculo end'!L86)-'Cálculo end'!J86-4),"")</f>
        <v/>
      </c>
      <c r="B94" s="5" t="str">
        <f>IFERROR(MID('Cálculo end'!L86,'Cálculo end'!F86+1,'Cálculo end'!G86-'Cálculo end'!F86-1),"")</f>
        <v/>
      </c>
      <c r="C94" s="5" t="str">
        <f>IFERROR(MID('Cálculo end'!L86,1,'Cálculo end'!F86-1),"")</f>
        <v/>
      </c>
      <c r="D94" s="5" t="str">
        <f>IFERROR(MID('Cálculo end'!L86,'Cálculo end'!H86+1,'Cálculo end'!I86-'Cálculo end'!H86-1),"")</f>
        <v/>
      </c>
      <c r="E94" s="5" t="str">
        <f>IFERROR(MID('Cálculo end'!L86,'Cálculo end'!G86+1,'Cálculo end'!H86-'Cálculo end'!G86-1),"")</f>
        <v/>
      </c>
      <c r="F94" s="6" t="str">
        <f>IFERROR(DATEVALUE(MID('Cálculo end'!L86,'Cálculo end'!I86+1,'Cálculo end'!J86-'Cálculo end'!I86-1)),"")</f>
        <v/>
      </c>
      <c r="G94" s="5"/>
      <c r="H94" s="11" t="str">
        <f>IF(Tabela1[[#This Row],[NOME:]]&lt;&gt;"",HYPERLINK(CONCATENATE('Cálculo end'!$C$1,"\",Tabela1[[#This Row],[TÉCNICA:]],"\",'Cálculo end'!L86),"Link Certificado"),"")</f>
        <v/>
      </c>
      <c r="I94" s="9" t="str">
        <f>IF(Tabela1[[#This Row],[NOME:]]&lt;&gt;"",HYPERLINK(VLOOKUP(Tabela1[[#This Row],[NOME:]],'Cálculo Acuidade'!R:W,6,FALSE),"Link Acuidade"),"")</f>
        <v/>
      </c>
      <c r="J94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5" spans="1:10">
      <c r="A95" s="4" t="str">
        <f>IFERROR(MID('Cálculo end'!L87,'Cálculo end'!J87+1,LEN('Cálculo end'!L87)-'Cálculo end'!J87-4),"")</f>
        <v/>
      </c>
      <c r="B95" s="5" t="str">
        <f>IFERROR(MID('Cálculo end'!L87,'Cálculo end'!F87+1,'Cálculo end'!G87-'Cálculo end'!F87-1),"")</f>
        <v/>
      </c>
      <c r="C95" s="5" t="str">
        <f>IFERROR(MID('Cálculo end'!L87,1,'Cálculo end'!F87-1),"")</f>
        <v/>
      </c>
      <c r="D95" s="5" t="str">
        <f>IFERROR(MID('Cálculo end'!L87,'Cálculo end'!H87+1,'Cálculo end'!I87-'Cálculo end'!H87-1),"")</f>
        <v/>
      </c>
      <c r="E95" s="5" t="str">
        <f>IFERROR(MID('Cálculo end'!L87,'Cálculo end'!G87+1,'Cálculo end'!H87-'Cálculo end'!G87-1),"")</f>
        <v/>
      </c>
      <c r="F95" s="6" t="str">
        <f>IFERROR(DATEVALUE(MID('Cálculo end'!L87,'Cálculo end'!I87+1,'Cálculo end'!J87-'Cálculo end'!I87-1)),"")</f>
        <v/>
      </c>
      <c r="G95" s="5"/>
      <c r="H95" s="11" t="str">
        <f>IF(Tabela1[[#This Row],[NOME:]]&lt;&gt;"",HYPERLINK(CONCATENATE('Cálculo end'!$C$1,"\",Tabela1[[#This Row],[TÉCNICA:]],"\",'Cálculo end'!L87),"Link Certificado"),"")</f>
        <v/>
      </c>
      <c r="I95" s="9" t="str">
        <f>IF(Tabela1[[#This Row],[NOME:]]&lt;&gt;"",HYPERLINK(VLOOKUP(Tabela1[[#This Row],[NOME:]],'Cálculo Acuidade'!R:W,6,FALSE),"Link Acuidade"),"")</f>
        <v/>
      </c>
      <c r="J95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6" spans="1:10">
      <c r="A96" s="4" t="str">
        <f>IFERROR(MID('Cálculo end'!L88,'Cálculo end'!J88+1,LEN('Cálculo end'!L88)-'Cálculo end'!J88-4),"")</f>
        <v/>
      </c>
      <c r="B96" s="5" t="str">
        <f>IFERROR(MID('Cálculo end'!L88,'Cálculo end'!F88+1,'Cálculo end'!G88-'Cálculo end'!F88-1),"")</f>
        <v/>
      </c>
      <c r="C96" s="5" t="str">
        <f>IFERROR(MID('Cálculo end'!L88,1,'Cálculo end'!F88-1),"")</f>
        <v/>
      </c>
      <c r="D96" s="5" t="str">
        <f>IFERROR(MID('Cálculo end'!L88,'Cálculo end'!H88+1,'Cálculo end'!I88-'Cálculo end'!H88-1),"")</f>
        <v/>
      </c>
      <c r="E96" s="5" t="str">
        <f>IFERROR(MID('Cálculo end'!L88,'Cálculo end'!G88+1,'Cálculo end'!H88-'Cálculo end'!G88-1),"")</f>
        <v/>
      </c>
      <c r="F96" s="6" t="str">
        <f>IFERROR(DATEVALUE(MID('Cálculo end'!L88,'Cálculo end'!I88+1,'Cálculo end'!J88-'Cálculo end'!I88-1)),"")</f>
        <v/>
      </c>
      <c r="G96" s="5"/>
      <c r="H96" s="11" t="str">
        <f>IF(Tabela1[[#This Row],[NOME:]]&lt;&gt;"",HYPERLINK(CONCATENATE('Cálculo end'!$C$1,"\",Tabela1[[#This Row],[TÉCNICA:]],"\",'Cálculo end'!L88),"Link Certificado"),"")</f>
        <v/>
      </c>
      <c r="I96" s="9" t="str">
        <f>IF(Tabela1[[#This Row],[NOME:]]&lt;&gt;"",HYPERLINK(VLOOKUP(Tabela1[[#This Row],[NOME:]],'Cálculo Acuidade'!R:W,6,FALSE),"Link Acuidade"),"")</f>
        <v/>
      </c>
      <c r="J96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7" spans="1:10">
      <c r="A97" s="4" t="str">
        <f>IFERROR(MID('Cálculo end'!L89,'Cálculo end'!J89+1,LEN('Cálculo end'!L89)-'Cálculo end'!J89-4),"")</f>
        <v/>
      </c>
      <c r="B97" s="5" t="str">
        <f>IFERROR(MID('Cálculo end'!L89,'Cálculo end'!F89+1,'Cálculo end'!G89-'Cálculo end'!F89-1),"")</f>
        <v/>
      </c>
      <c r="C97" s="5" t="str">
        <f>IFERROR(MID('Cálculo end'!L89,1,'Cálculo end'!F89-1),"")</f>
        <v/>
      </c>
      <c r="D97" s="5" t="str">
        <f>IFERROR(MID('Cálculo end'!L89,'Cálculo end'!H89+1,'Cálculo end'!I89-'Cálculo end'!H89-1),"")</f>
        <v/>
      </c>
      <c r="E97" s="5" t="str">
        <f>IFERROR(MID('Cálculo end'!L89,'Cálculo end'!G89+1,'Cálculo end'!H89-'Cálculo end'!G89-1),"")</f>
        <v/>
      </c>
      <c r="F97" s="6" t="str">
        <f>IFERROR(DATEVALUE(MID('Cálculo end'!L89,'Cálculo end'!I89+1,'Cálculo end'!J89-'Cálculo end'!I89-1)),"")</f>
        <v/>
      </c>
      <c r="G97" s="5"/>
      <c r="H97" s="11" t="str">
        <f>IF(Tabela1[[#This Row],[NOME:]]&lt;&gt;"",HYPERLINK(CONCATENATE('Cálculo end'!$C$1,"\",Tabela1[[#This Row],[TÉCNICA:]],"\",'Cálculo end'!L89),"Link Certificado"),"")</f>
        <v/>
      </c>
      <c r="I97" s="9" t="str">
        <f>IF(Tabela1[[#This Row],[NOME:]]&lt;&gt;"",HYPERLINK(VLOOKUP(Tabela1[[#This Row],[NOME:]],'Cálculo Acuidade'!R:W,6,FALSE),"Link Acuidade"),"")</f>
        <v/>
      </c>
      <c r="J97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8" spans="1:10">
      <c r="A98" s="4" t="str">
        <f>IFERROR(MID('Cálculo end'!L90,'Cálculo end'!J90+1,LEN('Cálculo end'!L90)-'Cálculo end'!J90-4),"")</f>
        <v/>
      </c>
      <c r="B98" s="5" t="str">
        <f>IFERROR(MID('Cálculo end'!L90,'Cálculo end'!F90+1,'Cálculo end'!G90-'Cálculo end'!F90-1),"")</f>
        <v/>
      </c>
      <c r="C98" s="5" t="str">
        <f>IFERROR(MID('Cálculo end'!L90,1,'Cálculo end'!F90-1),"")</f>
        <v/>
      </c>
      <c r="D98" s="5" t="str">
        <f>IFERROR(MID('Cálculo end'!L90,'Cálculo end'!H90+1,'Cálculo end'!I90-'Cálculo end'!H90-1),"")</f>
        <v/>
      </c>
      <c r="E98" s="5" t="str">
        <f>IFERROR(MID('Cálculo end'!L90,'Cálculo end'!G90+1,'Cálculo end'!H90-'Cálculo end'!G90-1),"")</f>
        <v/>
      </c>
      <c r="F98" s="6" t="str">
        <f>IFERROR(DATEVALUE(MID('Cálculo end'!L90,'Cálculo end'!I90+1,'Cálculo end'!J90-'Cálculo end'!I90-1)),"")</f>
        <v/>
      </c>
      <c r="G98" s="5"/>
      <c r="H98" s="11" t="str">
        <f>IF(Tabela1[[#This Row],[NOME:]]&lt;&gt;"",HYPERLINK(CONCATENATE('Cálculo end'!$C$1,"\",Tabela1[[#This Row],[TÉCNICA:]],"\",'Cálculo end'!L90),"Link Certificado"),"")</f>
        <v/>
      </c>
      <c r="I98" s="9" t="str">
        <f>IF(Tabela1[[#This Row],[NOME:]]&lt;&gt;"",HYPERLINK(VLOOKUP(Tabela1[[#This Row],[NOME:]],'Cálculo Acuidade'!R:W,6,FALSE),"Link Acuidade"),"")</f>
        <v/>
      </c>
      <c r="J98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99" spans="1:10">
      <c r="A99" s="4" t="str">
        <f>IFERROR(MID('Cálculo end'!L91,'Cálculo end'!J91+1,LEN('Cálculo end'!L91)-'Cálculo end'!J91-4),"")</f>
        <v/>
      </c>
      <c r="B99" s="5" t="str">
        <f>IFERROR(MID('Cálculo end'!L91,'Cálculo end'!F91+1,'Cálculo end'!G91-'Cálculo end'!F91-1),"")</f>
        <v/>
      </c>
      <c r="C99" s="5" t="str">
        <f>IFERROR(MID('Cálculo end'!L91,1,'Cálculo end'!F91-1),"")</f>
        <v/>
      </c>
      <c r="D99" s="5" t="str">
        <f>IFERROR(MID('Cálculo end'!L91,'Cálculo end'!H91+1,'Cálculo end'!I91-'Cálculo end'!H91-1),"")</f>
        <v/>
      </c>
      <c r="E99" s="5" t="str">
        <f>IFERROR(MID('Cálculo end'!L91,'Cálculo end'!G91+1,'Cálculo end'!H91-'Cálculo end'!G91-1),"")</f>
        <v/>
      </c>
      <c r="F99" s="6" t="str">
        <f>IFERROR(DATEVALUE(MID('Cálculo end'!L91,'Cálculo end'!I91+1,'Cálculo end'!J91-'Cálculo end'!I91-1)),"")</f>
        <v/>
      </c>
      <c r="G99" s="5"/>
      <c r="H99" s="11" t="str">
        <f>IF(Tabela1[[#This Row],[NOME:]]&lt;&gt;"",HYPERLINK(CONCATENATE('Cálculo end'!$C$1,"\",Tabela1[[#This Row],[TÉCNICA:]],"\",'Cálculo end'!L91),"Link Certificado"),"")</f>
        <v/>
      </c>
      <c r="I99" s="9" t="str">
        <f>IF(Tabela1[[#This Row],[NOME:]]&lt;&gt;"",HYPERLINK(VLOOKUP(Tabela1[[#This Row],[NOME:]],'Cálculo Acuidade'!R:W,6,FALSE),"Link Acuidade"),"")</f>
        <v/>
      </c>
      <c r="J99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100" spans="1:10">
      <c r="A100" s="4" t="str">
        <f>IFERROR(MID('Cálculo end'!L92,'Cálculo end'!J92+1,LEN('Cálculo end'!L92)-'Cálculo end'!J92-4),"")</f>
        <v/>
      </c>
      <c r="B100" s="5" t="str">
        <f>IFERROR(MID('Cálculo end'!L92,'Cálculo end'!F92+1,'Cálculo end'!G92-'Cálculo end'!F92-1),"")</f>
        <v/>
      </c>
      <c r="C100" s="5" t="str">
        <f>IFERROR(MID('Cálculo end'!L92,1,'Cálculo end'!F92-1),"")</f>
        <v/>
      </c>
      <c r="D100" s="5" t="str">
        <f>IFERROR(MID('Cálculo end'!L92,'Cálculo end'!H92+1,'Cálculo end'!I92-'Cálculo end'!H92-1),"")</f>
        <v/>
      </c>
      <c r="E100" s="5" t="str">
        <f>IFERROR(MID('Cálculo end'!L92,'Cálculo end'!G92+1,'Cálculo end'!H92-'Cálculo end'!G92-1),"")</f>
        <v/>
      </c>
      <c r="F100" s="6" t="str">
        <f>IFERROR(DATEVALUE(MID('Cálculo end'!L92,'Cálculo end'!I92+1,'Cálculo end'!J92-'Cálculo end'!I92-1)),"")</f>
        <v/>
      </c>
      <c r="G100" s="5"/>
      <c r="H100" s="11" t="str">
        <f>IF(Tabela1[[#This Row],[NOME:]]&lt;&gt;"",HYPERLINK(CONCATENATE('Cálculo end'!$C$1,"\",Tabela1[[#This Row],[TÉCNICA:]],"\",'Cálculo end'!L92),"Link Certificado"),"")</f>
        <v/>
      </c>
      <c r="I100" s="9" t="str">
        <f>IF(Tabela1[[#This Row],[NOME:]]&lt;&gt;"",HYPERLINK(VLOOKUP(Tabela1[[#This Row],[NOME:]],'Cálculo Acuidade'!R:W,6,FALSE),"Link Acuidade"),"")</f>
        <v/>
      </c>
      <c r="J100" s="10" t="str">
        <f>IF(Tabela1[[#This Row],[NOME:]]&lt;&gt;"",DATEVALUE(CONCATENATE(VLOOKUP(Tabela1[[#This Row],[NOME:]],'Cálculo Acuidade'!R:U,2,FALSE),"-",VLOOKUP(Tabela1[[#This Row],[NOME:]],'Cálculo Acuidade'!R:U,4,FALSE))),"")</f>
        <v/>
      </c>
    </row>
    <row r="101" spans="1:10" ht="15.75" thickBot="1">
      <c r="A101" s="12" t="str">
        <f>IFERROR(MID('Cálculo end'!L93,'Cálculo end'!J93+1,LEN('Cálculo end'!L93)-'Cálculo end'!J93-4),"")</f>
        <v/>
      </c>
      <c r="B101" s="13" t="str">
        <f>IFERROR(MID('Cálculo end'!L93,'Cálculo end'!F93+1,'Cálculo end'!G93-'Cálculo end'!F93-1),"")</f>
        <v/>
      </c>
      <c r="C101" s="13" t="str">
        <f>IFERROR(MID('Cálculo end'!L93,1,'Cálculo end'!F93-1),"")</f>
        <v/>
      </c>
      <c r="D101" s="13" t="str">
        <f>IFERROR(MID('Cálculo end'!L93,'Cálculo end'!H93+1,'Cálculo end'!I93-'Cálculo end'!H93-1),"")</f>
        <v/>
      </c>
      <c r="E101" s="13" t="str">
        <f>IFERROR(MID('Cálculo end'!L93,'Cálculo end'!G93+1,'Cálculo end'!H93-'Cálculo end'!G93-1),"")</f>
        <v/>
      </c>
      <c r="F101" s="14" t="str">
        <f>IFERROR(DATEVALUE(MID('Cálculo end'!L93,'Cálculo end'!I93+1,'Cálculo end'!J93-'Cálculo end'!I93-1)),"")</f>
        <v/>
      </c>
      <c r="G101" s="13"/>
      <c r="H101" s="15" t="str">
        <f>IF(Tabela1[[#This Row],[NOME:]]&lt;&gt;"",HYPERLINK(CONCATENATE('Cálculo end'!$C$1,"\",Tabela1[[#This Row],[TÉCNICA:]],"\",'Cálculo end'!L93),"Link Certificado"),"")</f>
        <v/>
      </c>
      <c r="I101" s="16" t="str">
        <f>IF(Tabela1[[#This Row],[NOME:]]&lt;&gt;"",HYPERLINK(VLOOKUP(Tabela1[[#This Row],[NOME:]],'Cálculo Acuidade'!R:W,6,FALSE),"Link Acuidade"),"")</f>
        <v/>
      </c>
      <c r="J101" s="17" t="str">
        <f>IF(Tabela1[[#This Row],[NOME:]]&lt;&gt;"",DATEVALUE(CONCATENATE(VLOOKUP(Tabela1[[#This Row],[NOME:]],'Cálculo Acuidade'!R:U,2,FALSE),"-",VLOOKUP(Tabela1[[#This Row],[NOME:]],'Cálculo Acuidade'!R:U,4,FALSE))),"")</f>
        <v/>
      </c>
    </row>
  </sheetData>
  <sheetProtection sheet="1" autoFilter="0"/>
  <protectedRanges>
    <protectedRange algorithmName="SHA-512" hashValue="YWIgDicwI/XMJhkPUgBwW1BUJOeUDOZdlE1UQeHGzbkiSWCSTYrWOee+wq0Gq4zpLem+RdNy7XIv6MHXqrp9jw==" saltValue="qdy0vRh8DW+EYuBAaj9rGQ==" spinCount="100000" sqref="A1:B7 J1:L7 C2:I7 G1:I1" name="Alterar" securityDescriptor="O:WDG:WDD:(A;;CC;;;S-1-5-21-2031228914-1279269496-402028614-2081)(A;;CC;;;S-1-5-21-2031228914-1279269496-402028614-4957)"/>
  </protectedRanges>
  <mergeCells count="2">
    <mergeCell ref="A1:J4"/>
    <mergeCell ref="A5:J6"/>
  </mergeCells>
  <conditionalFormatting sqref="F9:F101">
    <cfRule type="cellIs" dxfId="19" priority="4" operator="lessThan">
      <formula>TODAY()</formula>
    </cfRule>
    <cfRule type="cellIs" dxfId="18" priority="5" operator="greaterThan">
      <formula>TODAY()</formula>
    </cfRule>
  </conditionalFormatting>
  <conditionalFormatting sqref="J9:J101">
    <cfRule type="cellIs" dxfId="17" priority="2" operator="greaterThan">
      <formula>TODAY()</formula>
    </cfRule>
    <cfRule type="cellIs" dxfId="16" priority="3" operator="lessThan">
      <formula>TODAY()</formula>
    </cfRule>
  </conditionalFormatting>
  <conditionalFormatting sqref="A9:J101">
    <cfRule type="cellIs" dxfId="15" priority="1" operator="equal">
      <formula>""</formula>
    </cfRule>
  </conditionalFormatting>
  <pageMargins left="0.7" right="0.7" top="0.75" bottom="0.75" header="0.3" footer="0.3"/>
  <pageSetup paperSize="8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W200"/>
  <sheetViews>
    <sheetView topLeftCell="D1" workbookViewId="0">
      <selection activeCell="F34" sqref="F34"/>
    </sheetView>
  </sheetViews>
  <sheetFormatPr defaultRowHeight="15"/>
  <cols>
    <col min="18" max="18" width="33.140625" bestFit="1" customWidth="1"/>
    <col min="20" max="21" width="10.7109375" style="36" bestFit="1" customWidth="1"/>
    <col min="22" max="22" width="47.7109375" bestFit="1" customWidth="1"/>
  </cols>
  <sheetData>
    <row r="1" spans="1:23">
      <c r="A1" t="s">
        <v>19</v>
      </c>
      <c r="C1" t="s">
        <v>21</v>
      </c>
      <c r="R1" t="str">
        <f>IFERROR(MID(V1,1,FIND("_",V1,1)-1),"")</f>
        <v>Bruno Filipe Correia Silva</v>
      </c>
      <c r="S1" t="str">
        <f>IFERROR(MID(V1,FIND("_",V1,1)+1,5),"")</f>
        <v>16-01</v>
      </c>
      <c r="T1" s="36">
        <f>IFERROR(VALUE(MID(V1,FIND("_",V1,1)+7,4)),"")</f>
        <v>2024</v>
      </c>
      <c r="U1" s="36">
        <f>IFERROR(T1+1,"")</f>
        <v>2025</v>
      </c>
      <c r="V1" t="str">
        <f>IFERROR(INDEX(Acuidade,ROW()),"")</f>
        <v>Bruno Filipe Correia Silva_16-01-2024.pdf</v>
      </c>
      <c r="W1" t="str">
        <f>IF(V1&lt;&gt;"",CONCATENATE($C$1,"\",V1),"")</f>
        <v>Q:\11 - QUALIFICAÇÕES END\1 - QUALIFICAÇÕES END\3 - DOCS SUPORTE - ASP\1 - ACUIDADE VISUAL\Bruno Filipe Correia Silva_16-01-2024.pdf</v>
      </c>
    </row>
    <row r="2" spans="1:23">
      <c r="R2" t="str">
        <f t="shared" ref="R2:R65" si="0">IFERROR(MID(V2,1,FIND("_",V2,1)-1),"")</f>
        <v>Fernando Jorge Rodrigues Nogueira</v>
      </c>
      <c r="S2" t="str">
        <f t="shared" ref="S2:S65" si="1">IFERROR(MID(V2,FIND("_",V2,1)+1,5),"")</f>
        <v>16-01</v>
      </c>
      <c r="T2" s="36">
        <f t="shared" ref="T2:T65" si="2">IFERROR(VALUE(MID(V2,FIND("_",V2,1)+7,4)),"")</f>
        <v>2024</v>
      </c>
      <c r="U2" s="36">
        <f t="shared" ref="U2:U65" si="3">IFERROR(T2+1,"")</f>
        <v>2025</v>
      </c>
      <c r="V2" t="str">
        <f>IFERROR(INDEX(Acuidade,ROW()),"")</f>
        <v>Fernando Jorge Rodrigues Nogueira_16-01-2024.pdf</v>
      </c>
      <c r="W2" t="str">
        <f t="shared" ref="W2:W65" si="4">IF(V2&lt;&gt;"",CONCATENATE($C$1,"\",V2),"")</f>
        <v>Q:\11 - QUALIFICAÇÕES END\1 - QUALIFICAÇÕES END\3 - DOCS SUPORTE - ASP\1 - ACUIDADE VISUAL\Fernando Jorge Rodrigues Nogueira_16-01-2024.pdf</v>
      </c>
    </row>
    <row r="3" spans="1:23">
      <c r="R3" t="str">
        <f t="shared" si="0"/>
        <v>Fernando Miguel Pinho Fernandes</v>
      </c>
      <c r="S3" t="str">
        <f t="shared" si="1"/>
        <v>16-01</v>
      </c>
      <c r="T3" s="36">
        <f t="shared" si="2"/>
        <v>2024</v>
      </c>
      <c r="U3" s="36">
        <f t="shared" si="3"/>
        <v>2025</v>
      </c>
      <c r="V3" t="str">
        <f>IFERROR(INDEX(Acuidade,ROW()),"")</f>
        <v>Fernando Miguel Pinho Fernandes_16-01-2024.pdf</v>
      </c>
      <c r="W3" t="str">
        <f t="shared" si="4"/>
        <v>Q:\11 - QUALIFICAÇÕES END\1 - QUALIFICAÇÕES END\3 - DOCS SUPORTE - ASP\1 - ACUIDADE VISUAL\Fernando Miguel Pinho Fernandes_16-01-2024.pdf</v>
      </c>
    </row>
    <row r="4" spans="1:23">
      <c r="A4" t="s">
        <v>20</v>
      </c>
      <c r="C4" t="str">
        <f>CONCATENATE(C1,"\*")</f>
        <v>Q:\11 - QUALIFICAÇÕES END\1 - QUALIFICAÇÕES END\3 - DOCS SUPORTE - ASP\1 - ACUIDADE VISUAL\*</v>
      </c>
      <c r="R4" t="str">
        <f t="shared" si="0"/>
        <v>Fernando Pinheiro da Costa</v>
      </c>
      <c r="S4" t="str">
        <f t="shared" si="1"/>
        <v>16-01</v>
      </c>
      <c r="T4" s="36">
        <f t="shared" si="2"/>
        <v>2024</v>
      </c>
      <c r="U4" s="36">
        <f t="shared" si="3"/>
        <v>2025</v>
      </c>
      <c r="V4" t="str">
        <f>IFERROR(INDEX(Acuidade,ROW()),"")</f>
        <v>Fernando Pinheiro da Costa_16-01-2024.pdf</v>
      </c>
      <c r="W4" t="str">
        <f t="shared" si="4"/>
        <v>Q:\11 - QUALIFICAÇÕES END\1 - QUALIFICAÇÕES END\3 - DOCS SUPORTE - ASP\1 - ACUIDADE VISUAL\Fernando Pinheiro da Costa_16-01-2024.pdf</v>
      </c>
    </row>
    <row r="5" spans="1:23">
      <c r="R5" t="str">
        <f t="shared" si="0"/>
        <v>Filipe Silva Melo Almeida</v>
      </c>
      <c r="S5" t="str">
        <f t="shared" si="1"/>
        <v>16-01</v>
      </c>
      <c r="T5" s="36">
        <f t="shared" si="2"/>
        <v>2024</v>
      </c>
      <c r="U5" s="36">
        <f t="shared" si="3"/>
        <v>2025</v>
      </c>
      <c r="V5" t="str">
        <f>IFERROR(INDEX(Acuidade,ROW()),"")</f>
        <v>Filipe Silva Melo Almeida_16-01-2024.pdf</v>
      </c>
      <c r="W5" t="str">
        <f t="shared" si="4"/>
        <v>Q:\11 - QUALIFICAÇÕES END\1 - QUALIFICAÇÕES END\3 - DOCS SUPORTE - ASP\1 - ACUIDADE VISUAL\Filipe Silva Melo Almeida_16-01-2024.pdf</v>
      </c>
    </row>
    <row r="6" spans="1:23">
      <c r="R6" t="str">
        <f t="shared" si="0"/>
        <v>Francisco José Pereira Fernandes</v>
      </c>
      <c r="S6" t="str">
        <f t="shared" si="1"/>
        <v>16-01</v>
      </c>
      <c r="T6" s="36">
        <f t="shared" si="2"/>
        <v>2024</v>
      </c>
      <c r="U6" s="36">
        <f t="shared" si="3"/>
        <v>2025</v>
      </c>
      <c r="V6" t="str">
        <f>IFERROR(INDEX(Acuidade,ROW()),"")</f>
        <v>Francisco José Pereira Fernandes_16-01-2024.pdf</v>
      </c>
      <c r="W6" t="str">
        <f t="shared" si="4"/>
        <v>Q:\11 - QUALIFICAÇÕES END\1 - QUALIFICAÇÕES END\3 - DOCS SUPORTE - ASP\1 - ACUIDADE VISUAL\Francisco José Pereira Fernandes_16-01-2024.pdf</v>
      </c>
    </row>
    <row r="7" spans="1:23">
      <c r="R7" t="str">
        <f t="shared" si="0"/>
        <v>Francisco Manuel Conceição Oliveira</v>
      </c>
      <c r="S7" t="str">
        <f t="shared" si="1"/>
        <v>16-01</v>
      </c>
      <c r="T7" s="36">
        <f t="shared" si="2"/>
        <v>2024</v>
      </c>
      <c r="U7" s="36">
        <f t="shared" si="3"/>
        <v>2025</v>
      </c>
      <c r="V7" t="str">
        <f>IFERROR(INDEX(Acuidade,ROW()),"")</f>
        <v>Francisco Manuel Conceição Oliveira_16-01-2024.pdf</v>
      </c>
      <c r="W7" t="str">
        <f t="shared" si="4"/>
        <v>Q:\11 - QUALIFICAÇÕES END\1 - QUALIFICAÇÕES END\3 - DOCS SUPORTE - ASP\1 - ACUIDADE VISUAL\Francisco Manuel Conceição Oliveira_16-01-2024.pdf</v>
      </c>
    </row>
    <row r="8" spans="1:23">
      <c r="R8" t="str">
        <f t="shared" si="0"/>
        <v>José Eduardo Martins Pinho</v>
      </c>
      <c r="S8" t="str">
        <f t="shared" si="1"/>
        <v>16-01</v>
      </c>
      <c r="T8" s="36">
        <f t="shared" si="2"/>
        <v>2024</v>
      </c>
      <c r="U8" s="36">
        <f t="shared" si="3"/>
        <v>2025</v>
      </c>
      <c r="V8" t="str">
        <f>IFERROR(INDEX(Acuidade,ROW()),"")</f>
        <v>José Eduardo Martins Pinho_16-01-2024.pdf</v>
      </c>
      <c r="W8" t="str">
        <f t="shared" si="4"/>
        <v>Q:\11 - QUALIFICAÇÕES END\1 - QUALIFICAÇÕES END\3 - DOCS SUPORTE - ASP\1 - ACUIDADE VISUAL\José Eduardo Martins Pinho_16-01-2024.pdf</v>
      </c>
    </row>
    <row r="9" spans="1:23">
      <c r="R9" t="str">
        <f t="shared" si="0"/>
        <v>José Soares Ferreira</v>
      </c>
      <c r="S9" t="str">
        <f t="shared" si="1"/>
        <v>16-01</v>
      </c>
      <c r="T9" s="36">
        <f t="shared" si="2"/>
        <v>2024</v>
      </c>
      <c r="U9" s="36">
        <f t="shared" si="3"/>
        <v>2025</v>
      </c>
      <c r="V9" t="str">
        <f>IFERROR(INDEX(Acuidade,ROW()),"")</f>
        <v>José Soares Ferreira_16-01-2024.pdf</v>
      </c>
      <c r="W9" t="str">
        <f t="shared" si="4"/>
        <v>Q:\11 - QUALIFICAÇÕES END\1 - QUALIFICAÇÕES END\3 - DOCS SUPORTE - ASP\1 - ACUIDADE VISUAL\José Soares Ferreira_16-01-2024.pdf</v>
      </c>
    </row>
    <row r="10" spans="1:23">
      <c r="R10" t="str">
        <f t="shared" si="0"/>
        <v>Marcelo Filipe Ferreira Pinto</v>
      </c>
      <c r="S10" t="str">
        <f t="shared" si="1"/>
        <v>16-01</v>
      </c>
      <c r="T10" s="36">
        <f t="shared" si="2"/>
        <v>2024</v>
      </c>
      <c r="U10" s="36">
        <f t="shared" si="3"/>
        <v>2025</v>
      </c>
      <c r="V10" t="str">
        <f>IFERROR(INDEX(Acuidade,ROW()),"")</f>
        <v>Marcelo Filipe Ferreira Pinto_16-01-2024.pdf</v>
      </c>
      <c r="W10" t="str">
        <f t="shared" si="4"/>
        <v>Q:\11 - QUALIFICAÇÕES END\1 - QUALIFICAÇÕES END\3 - DOCS SUPORTE - ASP\1 - ACUIDADE VISUAL\Marcelo Filipe Ferreira Pinto_16-01-2024.pdf</v>
      </c>
    </row>
    <row r="11" spans="1:23">
      <c r="R11" t="str">
        <f t="shared" si="0"/>
        <v>Marco Azevedo Teixeira</v>
      </c>
      <c r="S11" t="str">
        <f t="shared" si="1"/>
        <v>16-01</v>
      </c>
      <c r="T11" s="36">
        <f t="shared" si="2"/>
        <v>2024</v>
      </c>
      <c r="U11" s="36">
        <f t="shared" si="3"/>
        <v>2025</v>
      </c>
      <c r="V11" t="str">
        <f>IFERROR(INDEX(Acuidade,ROW()),"")</f>
        <v>Marco Azevedo Teixeira_16-01-2024.pdf</v>
      </c>
      <c r="W11" t="str">
        <f t="shared" si="4"/>
        <v>Q:\11 - QUALIFICAÇÕES END\1 - QUALIFICAÇÕES END\3 - DOCS SUPORTE - ASP\1 - ACUIDADE VISUAL\Marco Azevedo Teixeira_16-01-2024.pdf</v>
      </c>
    </row>
    <row r="12" spans="1:23">
      <c r="R12" t="str">
        <f t="shared" si="0"/>
        <v>Ricardo Filipe Pina Freire</v>
      </c>
      <c r="S12" t="str">
        <f t="shared" si="1"/>
        <v>16-01</v>
      </c>
      <c r="T12" s="36">
        <f t="shared" si="2"/>
        <v>2024</v>
      </c>
      <c r="U12" s="36">
        <f t="shared" si="3"/>
        <v>2025</v>
      </c>
      <c r="V12" t="str">
        <f>IFERROR(INDEX(Acuidade,ROW()),"")</f>
        <v>Ricardo Filipe Pina Freire_16-01-2024.pdf</v>
      </c>
      <c r="W12" t="str">
        <f t="shared" si="4"/>
        <v>Q:\11 - QUALIFICAÇÕES END\1 - QUALIFICAÇÕES END\3 - DOCS SUPORTE - ASP\1 - ACUIDADE VISUAL\Ricardo Filipe Pina Freire_16-01-2024.pdf</v>
      </c>
    </row>
    <row r="13" spans="1:23">
      <c r="R13" t="str">
        <f t="shared" si="0"/>
        <v/>
      </c>
      <c r="S13" t="str">
        <f t="shared" si="1"/>
        <v/>
      </c>
      <c r="T13" s="36" t="str">
        <f t="shared" si="2"/>
        <v/>
      </c>
      <c r="U13" s="36" t="str">
        <f t="shared" si="3"/>
        <v/>
      </c>
      <c r="V13" t="str">
        <f>IFERROR(INDEX(Acuidade,ROW()),"")</f>
        <v/>
      </c>
      <c r="W13" t="str">
        <f t="shared" si="4"/>
        <v/>
      </c>
    </row>
    <row r="14" spans="1:23">
      <c r="R14" t="str">
        <f t="shared" si="0"/>
        <v/>
      </c>
      <c r="S14" t="str">
        <f t="shared" si="1"/>
        <v/>
      </c>
      <c r="T14" s="36" t="str">
        <f t="shared" si="2"/>
        <v/>
      </c>
      <c r="U14" s="36" t="str">
        <f t="shared" si="3"/>
        <v/>
      </c>
      <c r="V14" t="str">
        <f>IFERROR(INDEX(Acuidade,ROW()),"")</f>
        <v/>
      </c>
      <c r="W14" t="str">
        <f t="shared" si="4"/>
        <v/>
      </c>
    </row>
    <row r="15" spans="1:23">
      <c r="R15" t="str">
        <f t="shared" si="0"/>
        <v/>
      </c>
      <c r="S15" t="str">
        <f t="shared" si="1"/>
        <v/>
      </c>
      <c r="T15" s="36" t="str">
        <f t="shared" si="2"/>
        <v/>
      </c>
      <c r="U15" s="36" t="str">
        <f t="shared" si="3"/>
        <v/>
      </c>
      <c r="V15" t="str">
        <f>IFERROR(INDEX(Acuidade,ROW()),"")</f>
        <v/>
      </c>
      <c r="W15" t="str">
        <f t="shared" si="4"/>
        <v/>
      </c>
    </row>
    <row r="16" spans="1:23">
      <c r="R16" t="str">
        <f t="shared" si="0"/>
        <v/>
      </c>
      <c r="S16" t="str">
        <f t="shared" si="1"/>
        <v/>
      </c>
      <c r="T16" s="36" t="str">
        <f t="shared" si="2"/>
        <v/>
      </c>
      <c r="U16" s="36" t="str">
        <f t="shared" si="3"/>
        <v/>
      </c>
      <c r="V16" t="str">
        <f>IFERROR(INDEX(Acuidade,ROW()),"")</f>
        <v/>
      </c>
      <c r="W16" t="str">
        <f t="shared" si="4"/>
        <v/>
      </c>
    </row>
    <row r="17" spans="18:23">
      <c r="R17" t="str">
        <f t="shared" si="0"/>
        <v/>
      </c>
      <c r="S17" t="str">
        <f t="shared" si="1"/>
        <v/>
      </c>
      <c r="T17" s="36" t="str">
        <f t="shared" si="2"/>
        <v/>
      </c>
      <c r="U17" s="36" t="str">
        <f t="shared" si="3"/>
        <v/>
      </c>
      <c r="V17" t="str">
        <f>IFERROR(INDEX(Acuidade,ROW()),"")</f>
        <v/>
      </c>
      <c r="W17" t="str">
        <f t="shared" si="4"/>
        <v/>
      </c>
    </row>
    <row r="18" spans="18:23">
      <c r="R18" t="str">
        <f t="shared" si="0"/>
        <v/>
      </c>
      <c r="S18" t="str">
        <f t="shared" si="1"/>
        <v/>
      </c>
      <c r="T18" s="36" t="str">
        <f t="shared" si="2"/>
        <v/>
      </c>
      <c r="U18" s="36" t="str">
        <f t="shared" si="3"/>
        <v/>
      </c>
      <c r="V18" t="str">
        <f>IFERROR(INDEX(Acuidade,ROW()),"")</f>
        <v/>
      </c>
      <c r="W18" t="str">
        <f t="shared" si="4"/>
        <v/>
      </c>
    </row>
    <row r="19" spans="18:23">
      <c r="R19" t="str">
        <f t="shared" si="0"/>
        <v/>
      </c>
      <c r="S19" t="str">
        <f t="shared" si="1"/>
        <v/>
      </c>
      <c r="T19" s="36" t="str">
        <f t="shared" si="2"/>
        <v/>
      </c>
      <c r="U19" s="36" t="str">
        <f t="shared" si="3"/>
        <v/>
      </c>
      <c r="V19" t="str">
        <f>IFERROR(INDEX(Acuidade,ROW()),"")</f>
        <v/>
      </c>
      <c r="W19" t="str">
        <f t="shared" si="4"/>
        <v/>
      </c>
    </row>
    <row r="20" spans="18:23">
      <c r="R20" t="str">
        <f t="shared" si="0"/>
        <v/>
      </c>
      <c r="S20" t="str">
        <f t="shared" si="1"/>
        <v/>
      </c>
      <c r="T20" s="36" t="str">
        <f t="shared" si="2"/>
        <v/>
      </c>
      <c r="U20" s="36" t="str">
        <f t="shared" si="3"/>
        <v/>
      </c>
      <c r="V20" t="str">
        <f>IFERROR(INDEX(Acuidade,ROW()),"")</f>
        <v/>
      </c>
      <c r="W20" t="str">
        <f t="shared" si="4"/>
        <v/>
      </c>
    </row>
    <row r="21" spans="18:23">
      <c r="R21" t="str">
        <f t="shared" si="0"/>
        <v/>
      </c>
      <c r="S21" t="str">
        <f t="shared" si="1"/>
        <v/>
      </c>
      <c r="T21" s="36" t="str">
        <f t="shared" si="2"/>
        <v/>
      </c>
      <c r="U21" s="36" t="str">
        <f t="shared" si="3"/>
        <v/>
      </c>
      <c r="V21" t="str">
        <f>IFERROR(INDEX(Acuidade,ROW()),"")</f>
        <v/>
      </c>
      <c r="W21" t="str">
        <f t="shared" si="4"/>
        <v/>
      </c>
    </row>
    <row r="22" spans="18:23">
      <c r="R22" t="str">
        <f t="shared" si="0"/>
        <v/>
      </c>
      <c r="S22" t="str">
        <f t="shared" si="1"/>
        <v/>
      </c>
      <c r="T22" s="36" t="str">
        <f t="shared" si="2"/>
        <v/>
      </c>
      <c r="U22" s="36" t="str">
        <f t="shared" si="3"/>
        <v/>
      </c>
      <c r="V22" t="str">
        <f>IFERROR(INDEX(Acuidade,ROW()),"")</f>
        <v/>
      </c>
      <c r="W22" t="str">
        <f t="shared" si="4"/>
        <v/>
      </c>
    </row>
    <row r="23" spans="18:23">
      <c r="R23" t="str">
        <f t="shared" si="0"/>
        <v/>
      </c>
      <c r="S23" t="str">
        <f t="shared" si="1"/>
        <v/>
      </c>
      <c r="T23" s="36" t="str">
        <f t="shared" si="2"/>
        <v/>
      </c>
      <c r="U23" s="36" t="str">
        <f t="shared" si="3"/>
        <v/>
      </c>
      <c r="V23" t="str">
        <f>IFERROR(INDEX(Acuidade,ROW()),"")</f>
        <v/>
      </c>
      <c r="W23" t="str">
        <f t="shared" si="4"/>
        <v/>
      </c>
    </row>
    <row r="24" spans="18:23">
      <c r="R24" t="str">
        <f t="shared" si="0"/>
        <v/>
      </c>
      <c r="S24" t="str">
        <f t="shared" si="1"/>
        <v/>
      </c>
      <c r="T24" s="36" t="str">
        <f t="shared" si="2"/>
        <v/>
      </c>
      <c r="U24" s="36" t="str">
        <f t="shared" si="3"/>
        <v/>
      </c>
      <c r="V24" t="str">
        <f>IFERROR(INDEX(Acuidade,ROW()),"")</f>
        <v/>
      </c>
      <c r="W24" t="str">
        <f t="shared" si="4"/>
        <v/>
      </c>
    </row>
    <row r="25" spans="18:23">
      <c r="R25" t="str">
        <f t="shared" si="0"/>
        <v/>
      </c>
      <c r="S25" t="str">
        <f t="shared" si="1"/>
        <v/>
      </c>
      <c r="T25" s="36" t="str">
        <f t="shared" si="2"/>
        <v/>
      </c>
      <c r="U25" s="36" t="str">
        <f t="shared" si="3"/>
        <v/>
      </c>
      <c r="V25" t="str">
        <f>IFERROR(INDEX(Acuidade,ROW()),"")</f>
        <v/>
      </c>
      <c r="W25" t="str">
        <f t="shared" si="4"/>
        <v/>
      </c>
    </row>
    <row r="26" spans="18:23">
      <c r="R26" t="str">
        <f t="shared" si="0"/>
        <v/>
      </c>
      <c r="S26" t="str">
        <f t="shared" si="1"/>
        <v/>
      </c>
      <c r="T26" s="36" t="str">
        <f t="shared" si="2"/>
        <v/>
      </c>
      <c r="U26" s="36" t="str">
        <f t="shared" si="3"/>
        <v/>
      </c>
      <c r="V26" t="str">
        <f>IFERROR(INDEX(Acuidade,ROW()),"")</f>
        <v/>
      </c>
      <c r="W26" t="str">
        <f t="shared" si="4"/>
        <v/>
      </c>
    </row>
    <row r="27" spans="18:23">
      <c r="R27" t="str">
        <f t="shared" si="0"/>
        <v/>
      </c>
      <c r="S27" t="str">
        <f t="shared" si="1"/>
        <v/>
      </c>
      <c r="T27" s="36" t="str">
        <f t="shared" si="2"/>
        <v/>
      </c>
      <c r="U27" s="36" t="str">
        <f t="shared" si="3"/>
        <v/>
      </c>
      <c r="V27" t="str">
        <f>IFERROR(INDEX(Acuidade,ROW()),"")</f>
        <v/>
      </c>
      <c r="W27" t="str">
        <f t="shared" si="4"/>
        <v/>
      </c>
    </row>
    <row r="28" spans="18:23">
      <c r="R28" t="str">
        <f t="shared" si="0"/>
        <v/>
      </c>
      <c r="S28" t="str">
        <f t="shared" si="1"/>
        <v/>
      </c>
      <c r="T28" s="36" t="str">
        <f t="shared" si="2"/>
        <v/>
      </c>
      <c r="U28" s="36" t="str">
        <f t="shared" si="3"/>
        <v/>
      </c>
      <c r="V28" t="str">
        <f>IFERROR(INDEX(Acuidade,ROW()),"")</f>
        <v/>
      </c>
      <c r="W28" t="str">
        <f t="shared" si="4"/>
        <v/>
      </c>
    </row>
    <row r="29" spans="18:23">
      <c r="R29" t="str">
        <f t="shared" si="0"/>
        <v/>
      </c>
      <c r="S29" t="str">
        <f t="shared" si="1"/>
        <v/>
      </c>
      <c r="T29" s="36" t="str">
        <f t="shared" si="2"/>
        <v/>
      </c>
      <c r="U29" s="36" t="str">
        <f t="shared" si="3"/>
        <v/>
      </c>
      <c r="V29" t="str">
        <f>IFERROR(INDEX(Acuidade,ROW()),"")</f>
        <v/>
      </c>
      <c r="W29" t="str">
        <f t="shared" si="4"/>
        <v/>
      </c>
    </row>
    <row r="30" spans="18:23">
      <c r="R30" t="str">
        <f t="shared" si="0"/>
        <v/>
      </c>
      <c r="S30" t="str">
        <f t="shared" si="1"/>
        <v/>
      </c>
      <c r="T30" s="36" t="str">
        <f t="shared" si="2"/>
        <v/>
      </c>
      <c r="U30" s="36" t="str">
        <f t="shared" si="3"/>
        <v/>
      </c>
      <c r="V30" t="str">
        <f>IFERROR(INDEX(Acuidade,ROW()),"")</f>
        <v/>
      </c>
      <c r="W30" t="str">
        <f t="shared" si="4"/>
        <v/>
      </c>
    </row>
    <row r="31" spans="18:23">
      <c r="R31" t="str">
        <f t="shared" si="0"/>
        <v/>
      </c>
      <c r="S31" t="str">
        <f t="shared" si="1"/>
        <v/>
      </c>
      <c r="T31" s="36" t="str">
        <f t="shared" si="2"/>
        <v/>
      </c>
      <c r="U31" s="36" t="str">
        <f t="shared" si="3"/>
        <v/>
      </c>
      <c r="V31" t="str">
        <f>IFERROR(INDEX(Acuidade,ROW()),"")</f>
        <v/>
      </c>
      <c r="W31" t="str">
        <f t="shared" si="4"/>
        <v/>
      </c>
    </row>
    <row r="32" spans="18:23">
      <c r="R32" t="str">
        <f t="shared" si="0"/>
        <v/>
      </c>
      <c r="S32" t="str">
        <f t="shared" si="1"/>
        <v/>
      </c>
      <c r="T32" s="36" t="str">
        <f t="shared" si="2"/>
        <v/>
      </c>
      <c r="U32" s="36" t="str">
        <f t="shared" si="3"/>
        <v/>
      </c>
      <c r="V32" t="str">
        <f>IFERROR(INDEX(Acuidade,ROW()),"")</f>
        <v/>
      </c>
      <c r="W32" t="str">
        <f t="shared" si="4"/>
        <v/>
      </c>
    </row>
    <row r="33" spans="18:23">
      <c r="R33" t="str">
        <f t="shared" si="0"/>
        <v/>
      </c>
      <c r="S33" t="str">
        <f t="shared" si="1"/>
        <v/>
      </c>
      <c r="T33" s="36" t="str">
        <f t="shared" si="2"/>
        <v/>
      </c>
      <c r="U33" s="36" t="str">
        <f t="shared" si="3"/>
        <v/>
      </c>
      <c r="V33" t="str">
        <f>IFERROR(INDEX(Acuidade,ROW()),"")</f>
        <v/>
      </c>
      <c r="W33" t="str">
        <f t="shared" si="4"/>
        <v/>
      </c>
    </row>
    <row r="34" spans="18:23">
      <c r="R34" t="str">
        <f t="shared" si="0"/>
        <v/>
      </c>
      <c r="S34" t="str">
        <f t="shared" si="1"/>
        <v/>
      </c>
      <c r="T34" s="36" t="str">
        <f t="shared" si="2"/>
        <v/>
      </c>
      <c r="U34" s="36" t="str">
        <f t="shared" si="3"/>
        <v/>
      </c>
      <c r="V34" t="str">
        <f>IFERROR(INDEX(Acuidade,ROW()),"")</f>
        <v/>
      </c>
      <c r="W34" t="str">
        <f t="shared" si="4"/>
        <v/>
      </c>
    </row>
    <row r="35" spans="18:23">
      <c r="R35" t="str">
        <f t="shared" si="0"/>
        <v/>
      </c>
      <c r="S35" t="str">
        <f t="shared" si="1"/>
        <v/>
      </c>
      <c r="T35" s="36" t="str">
        <f t="shared" si="2"/>
        <v/>
      </c>
      <c r="U35" s="36" t="str">
        <f t="shared" si="3"/>
        <v/>
      </c>
      <c r="V35" t="str">
        <f>IFERROR(INDEX(Acuidade,ROW()),"")</f>
        <v/>
      </c>
      <c r="W35" t="str">
        <f t="shared" si="4"/>
        <v/>
      </c>
    </row>
    <row r="36" spans="18:23">
      <c r="R36" t="str">
        <f t="shared" si="0"/>
        <v/>
      </c>
      <c r="S36" t="str">
        <f t="shared" si="1"/>
        <v/>
      </c>
      <c r="T36" s="36" t="str">
        <f t="shared" si="2"/>
        <v/>
      </c>
      <c r="U36" s="36" t="str">
        <f t="shared" si="3"/>
        <v/>
      </c>
      <c r="V36" t="str">
        <f>IFERROR(INDEX(Acuidade,ROW()),"")</f>
        <v/>
      </c>
      <c r="W36" t="str">
        <f t="shared" si="4"/>
        <v/>
      </c>
    </row>
    <row r="37" spans="18:23">
      <c r="R37" t="str">
        <f t="shared" si="0"/>
        <v/>
      </c>
      <c r="S37" t="str">
        <f t="shared" si="1"/>
        <v/>
      </c>
      <c r="T37" s="36" t="str">
        <f t="shared" si="2"/>
        <v/>
      </c>
      <c r="U37" s="36" t="str">
        <f t="shared" si="3"/>
        <v/>
      </c>
      <c r="V37" t="str">
        <f>IFERROR(INDEX(Acuidade,ROW()),"")</f>
        <v/>
      </c>
      <c r="W37" t="str">
        <f t="shared" si="4"/>
        <v/>
      </c>
    </row>
    <row r="38" spans="18:23">
      <c r="R38" t="str">
        <f t="shared" si="0"/>
        <v/>
      </c>
      <c r="S38" t="str">
        <f t="shared" si="1"/>
        <v/>
      </c>
      <c r="T38" s="36" t="str">
        <f t="shared" si="2"/>
        <v/>
      </c>
      <c r="U38" s="36" t="str">
        <f t="shared" si="3"/>
        <v/>
      </c>
      <c r="V38" t="str">
        <f>IFERROR(INDEX(Acuidade,ROW()),"")</f>
        <v/>
      </c>
      <c r="W38" t="str">
        <f t="shared" si="4"/>
        <v/>
      </c>
    </row>
    <row r="39" spans="18:23">
      <c r="R39" t="str">
        <f t="shared" si="0"/>
        <v/>
      </c>
      <c r="S39" t="str">
        <f t="shared" si="1"/>
        <v/>
      </c>
      <c r="T39" s="36" t="str">
        <f t="shared" si="2"/>
        <v/>
      </c>
      <c r="U39" s="36" t="str">
        <f t="shared" si="3"/>
        <v/>
      </c>
      <c r="V39" t="str">
        <f>IFERROR(INDEX(Acuidade,ROW()),"")</f>
        <v/>
      </c>
      <c r="W39" t="str">
        <f t="shared" si="4"/>
        <v/>
      </c>
    </row>
    <row r="40" spans="18:23">
      <c r="R40" t="str">
        <f t="shared" si="0"/>
        <v/>
      </c>
      <c r="S40" t="str">
        <f t="shared" si="1"/>
        <v/>
      </c>
      <c r="T40" s="36" t="str">
        <f t="shared" si="2"/>
        <v/>
      </c>
      <c r="U40" s="36" t="str">
        <f t="shared" si="3"/>
        <v/>
      </c>
      <c r="V40" t="str">
        <f>IFERROR(INDEX(Acuidade,ROW()),"")</f>
        <v/>
      </c>
      <c r="W40" t="str">
        <f t="shared" si="4"/>
        <v/>
      </c>
    </row>
    <row r="41" spans="18:23">
      <c r="R41" t="str">
        <f t="shared" si="0"/>
        <v/>
      </c>
      <c r="S41" t="str">
        <f t="shared" si="1"/>
        <v/>
      </c>
      <c r="T41" s="36" t="str">
        <f t="shared" si="2"/>
        <v/>
      </c>
      <c r="U41" s="36" t="str">
        <f t="shared" si="3"/>
        <v/>
      </c>
      <c r="V41" t="str">
        <f>IFERROR(INDEX(Acuidade,ROW()),"")</f>
        <v/>
      </c>
      <c r="W41" t="str">
        <f t="shared" si="4"/>
        <v/>
      </c>
    </row>
    <row r="42" spans="18:23">
      <c r="R42" t="str">
        <f t="shared" si="0"/>
        <v/>
      </c>
      <c r="S42" t="str">
        <f t="shared" si="1"/>
        <v/>
      </c>
      <c r="T42" s="36" t="str">
        <f t="shared" si="2"/>
        <v/>
      </c>
      <c r="U42" s="36" t="str">
        <f t="shared" si="3"/>
        <v/>
      </c>
      <c r="V42" t="str">
        <f>IFERROR(INDEX(Acuidade,ROW()),"")</f>
        <v/>
      </c>
      <c r="W42" t="str">
        <f t="shared" si="4"/>
        <v/>
      </c>
    </row>
    <row r="43" spans="18:23">
      <c r="R43" t="str">
        <f t="shared" si="0"/>
        <v/>
      </c>
      <c r="S43" t="str">
        <f t="shared" si="1"/>
        <v/>
      </c>
      <c r="T43" s="36" t="str">
        <f t="shared" si="2"/>
        <v/>
      </c>
      <c r="U43" s="36" t="str">
        <f t="shared" si="3"/>
        <v/>
      </c>
      <c r="V43" t="str">
        <f>IFERROR(INDEX(Acuidade,ROW()),"")</f>
        <v/>
      </c>
      <c r="W43" t="str">
        <f t="shared" si="4"/>
        <v/>
      </c>
    </row>
    <row r="44" spans="18:23">
      <c r="R44" t="str">
        <f t="shared" si="0"/>
        <v/>
      </c>
      <c r="S44" t="str">
        <f t="shared" si="1"/>
        <v/>
      </c>
      <c r="T44" s="36" t="str">
        <f t="shared" si="2"/>
        <v/>
      </c>
      <c r="U44" s="36" t="str">
        <f t="shared" si="3"/>
        <v/>
      </c>
      <c r="V44" t="str">
        <f>IFERROR(INDEX(Acuidade,ROW()),"")</f>
        <v/>
      </c>
      <c r="W44" t="str">
        <f t="shared" si="4"/>
        <v/>
      </c>
    </row>
    <row r="45" spans="18:23">
      <c r="R45" t="str">
        <f t="shared" si="0"/>
        <v/>
      </c>
      <c r="S45" t="str">
        <f t="shared" si="1"/>
        <v/>
      </c>
      <c r="T45" s="36" t="str">
        <f t="shared" si="2"/>
        <v/>
      </c>
      <c r="U45" s="36" t="str">
        <f t="shared" si="3"/>
        <v/>
      </c>
      <c r="V45" t="str">
        <f>IFERROR(INDEX(Acuidade,ROW()),"")</f>
        <v/>
      </c>
      <c r="W45" t="str">
        <f t="shared" si="4"/>
        <v/>
      </c>
    </row>
    <row r="46" spans="18:23">
      <c r="R46" t="str">
        <f t="shared" si="0"/>
        <v/>
      </c>
      <c r="S46" t="str">
        <f t="shared" si="1"/>
        <v/>
      </c>
      <c r="T46" s="36" t="str">
        <f t="shared" si="2"/>
        <v/>
      </c>
      <c r="U46" s="36" t="str">
        <f t="shared" si="3"/>
        <v/>
      </c>
      <c r="V46" t="str">
        <f>IFERROR(INDEX(Acuidade,ROW()),"")</f>
        <v/>
      </c>
      <c r="W46" t="str">
        <f t="shared" si="4"/>
        <v/>
      </c>
    </row>
    <row r="47" spans="18:23">
      <c r="R47" t="str">
        <f t="shared" si="0"/>
        <v/>
      </c>
      <c r="S47" t="str">
        <f t="shared" si="1"/>
        <v/>
      </c>
      <c r="T47" s="36" t="str">
        <f t="shared" si="2"/>
        <v/>
      </c>
      <c r="U47" s="36" t="str">
        <f t="shared" si="3"/>
        <v/>
      </c>
      <c r="V47" t="str">
        <f>IFERROR(INDEX(Acuidade,ROW()),"")</f>
        <v/>
      </c>
      <c r="W47" t="str">
        <f t="shared" si="4"/>
        <v/>
      </c>
    </row>
    <row r="48" spans="18:23">
      <c r="R48" t="str">
        <f t="shared" si="0"/>
        <v/>
      </c>
      <c r="S48" t="str">
        <f t="shared" si="1"/>
        <v/>
      </c>
      <c r="T48" s="36" t="str">
        <f t="shared" si="2"/>
        <v/>
      </c>
      <c r="U48" s="36" t="str">
        <f t="shared" si="3"/>
        <v/>
      </c>
      <c r="V48" t="str">
        <f>IFERROR(INDEX(Acuidade,ROW()),"")</f>
        <v/>
      </c>
      <c r="W48" t="str">
        <f t="shared" si="4"/>
        <v/>
      </c>
    </row>
    <row r="49" spans="18:23">
      <c r="R49" t="str">
        <f t="shared" si="0"/>
        <v/>
      </c>
      <c r="S49" t="str">
        <f t="shared" si="1"/>
        <v/>
      </c>
      <c r="T49" s="36" t="str">
        <f t="shared" si="2"/>
        <v/>
      </c>
      <c r="U49" s="36" t="str">
        <f t="shared" si="3"/>
        <v/>
      </c>
      <c r="V49" t="str">
        <f>IFERROR(INDEX(Acuidade,ROW()),"")</f>
        <v/>
      </c>
      <c r="W49" t="str">
        <f t="shared" si="4"/>
        <v/>
      </c>
    </row>
    <row r="50" spans="18:23">
      <c r="R50" t="str">
        <f t="shared" si="0"/>
        <v/>
      </c>
      <c r="S50" t="str">
        <f t="shared" si="1"/>
        <v/>
      </c>
      <c r="T50" s="36" t="str">
        <f t="shared" si="2"/>
        <v/>
      </c>
      <c r="U50" s="36" t="str">
        <f t="shared" si="3"/>
        <v/>
      </c>
      <c r="V50" t="str">
        <f>IFERROR(INDEX(Acuidade,ROW()),"")</f>
        <v/>
      </c>
      <c r="W50" t="str">
        <f t="shared" si="4"/>
        <v/>
      </c>
    </row>
    <row r="51" spans="18:23">
      <c r="R51" t="str">
        <f t="shared" si="0"/>
        <v/>
      </c>
      <c r="S51" t="str">
        <f t="shared" si="1"/>
        <v/>
      </c>
      <c r="T51" s="36" t="str">
        <f t="shared" si="2"/>
        <v/>
      </c>
      <c r="U51" s="36" t="str">
        <f t="shared" si="3"/>
        <v/>
      </c>
      <c r="V51" t="str">
        <f>IFERROR(INDEX(Acuidade,ROW()),"")</f>
        <v/>
      </c>
      <c r="W51" t="str">
        <f t="shared" si="4"/>
        <v/>
      </c>
    </row>
    <row r="52" spans="18:23">
      <c r="R52" t="str">
        <f t="shared" si="0"/>
        <v/>
      </c>
      <c r="S52" t="str">
        <f t="shared" si="1"/>
        <v/>
      </c>
      <c r="T52" s="36" t="str">
        <f t="shared" si="2"/>
        <v/>
      </c>
      <c r="U52" s="36" t="str">
        <f t="shared" si="3"/>
        <v/>
      </c>
      <c r="V52" t="str">
        <f>IFERROR(INDEX(Acuidade,ROW()),"")</f>
        <v/>
      </c>
      <c r="W52" t="str">
        <f t="shared" si="4"/>
        <v/>
      </c>
    </row>
    <row r="53" spans="18:23">
      <c r="R53" t="str">
        <f t="shared" si="0"/>
        <v/>
      </c>
      <c r="S53" t="str">
        <f t="shared" si="1"/>
        <v/>
      </c>
      <c r="T53" s="36" t="str">
        <f t="shared" si="2"/>
        <v/>
      </c>
      <c r="U53" s="36" t="str">
        <f t="shared" si="3"/>
        <v/>
      </c>
      <c r="V53" t="str">
        <f>IFERROR(INDEX(Acuidade,ROW()),"")</f>
        <v/>
      </c>
      <c r="W53" t="str">
        <f t="shared" si="4"/>
        <v/>
      </c>
    </row>
    <row r="54" spans="18:23">
      <c r="R54" t="str">
        <f t="shared" si="0"/>
        <v/>
      </c>
      <c r="S54" t="str">
        <f t="shared" si="1"/>
        <v/>
      </c>
      <c r="T54" s="36" t="str">
        <f t="shared" si="2"/>
        <v/>
      </c>
      <c r="U54" s="36" t="str">
        <f t="shared" si="3"/>
        <v/>
      </c>
      <c r="V54" t="str">
        <f>IFERROR(INDEX(Acuidade,ROW()),"")</f>
        <v/>
      </c>
      <c r="W54" t="str">
        <f t="shared" si="4"/>
        <v/>
      </c>
    </row>
    <row r="55" spans="18:23">
      <c r="R55" t="str">
        <f t="shared" si="0"/>
        <v/>
      </c>
      <c r="S55" t="str">
        <f t="shared" si="1"/>
        <v/>
      </c>
      <c r="T55" s="36" t="str">
        <f t="shared" si="2"/>
        <v/>
      </c>
      <c r="U55" s="36" t="str">
        <f t="shared" si="3"/>
        <v/>
      </c>
      <c r="V55" t="str">
        <f>IFERROR(INDEX(Acuidade,ROW()),"")</f>
        <v/>
      </c>
      <c r="W55" t="str">
        <f t="shared" si="4"/>
        <v/>
      </c>
    </row>
    <row r="56" spans="18:23">
      <c r="R56" t="str">
        <f t="shared" si="0"/>
        <v/>
      </c>
      <c r="S56" t="str">
        <f t="shared" si="1"/>
        <v/>
      </c>
      <c r="T56" s="36" t="str">
        <f t="shared" si="2"/>
        <v/>
      </c>
      <c r="U56" s="36" t="str">
        <f t="shared" si="3"/>
        <v/>
      </c>
      <c r="V56" t="str">
        <f>IFERROR(INDEX(Acuidade,ROW()),"")</f>
        <v/>
      </c>
      <c r="W56" t="str">
        <f t="shared" si="4"/>
        <v/>
      </c>
    </row>
    <row r="57" spans="18:23">
      <c r="R57" t="str">
        <f t="shared" si="0"/>
        <v/>
      </c>
      <c r="S57" t="str">
        <f t="shared" si="1"/>
        <v/>
      </c>
      <c r="T57" s="36" t="str">
        <f t="shared" si="2"/>
        <v/>
      </c>
      <c r="U57" s="36" t="str">
        <f t="shared" si="3"/>
        <v/>
      </c>
      <c r="V57" t="str">
        <f>IFERROR(INDEX(Acuidade,ROW()),"")</f>
        <v/>
      </c>
      <c r="W57" t="str">
        <f t="shared" si="4"/>
        <v/>
      </c>
    </row>
    <row r="58" spans="18:23">
      <c r="R58" t="str">
        <f t="shared" si="0"/>
        <v/>
      </c>
      <c r="S58" t="str">
        <f t="shared" si="1"/>
        <v/>
      </c>
      <c r="T58" s="36" t="str">
        <f t="shared" si="2"/>
        <v/>
      </c>
      <c r="U58" s="36" t="str">
        <f t="shared" si="3"/>
        <v/>
      </c>
      <c r="V58" t="str">
        <f>IFERROR(INDEX(Acuidade,ROW()),"")</f>
        <v/>
      </c>
      <c r="W58" t="str">
        <f t="shared" si="4"/>
        <v/>
      </c>
    </row>
    <row r="59" spans="18:23">
      <c r="R59" t="str">
        <f t="shared" si="0"/>
        <v/>
      </c>
      <c r="S59" t="str">
        <f t="shared" si="1"/>
        <v/>
      </c>
      <c r="T59" s="36" t="str">
        <f t="shared" si="2"/>
        <v/>
      </c>
      <c r="U59" s="36" t="str">
        <f t="shared" si="3"/>
        <v/>
      </c>
      <c r="V59" t="str">
        <f>IFERROR(INDEX(Acuidade,ROW()),"")</f>
        <v/>
      </c>
      <c r="W59" t="str">
        <f t="shared" si="4"/>
        <v/>
      </c>
    </row>
    <row r="60" spans="18:23">
      <c r="R60" t="str">
        <f t="shared" si="0"/>
        <v/>
      </c>
      <c r="S60" t="str">
        <f t="shared" si="1"/>
        <v/>
      </c>
      <c r="T60" s="36" t="str">
        <f t="shared" si="2"/>
        <v/>
      </c>
      <c r="U60" s="36" t="str">
        <f t="shared" si="3"/>
        <v/>
      </c>
      <c r="V60" t="str">
        <f>IFERROR(INDEX(Acuidade,ROW()),"")</f>
        <v/>
      </c>
      <c r="W60" t="str">
        <f t="shared" si="4"/>
        <v/>
      </c>
    </row>
    <row r="61" spans="18:23">
      <c r="R61" t="str">
        <f t="shared" si="0"/>
        <v/>
      </c>
      <c r="S61" t="str">
        <f t="shared" si="1"/>
        <v/>
      </c>
      <c r="T61" s="36" t="str">
        <f t="shared" si="2"/>
        <v/>
      </c>
      <c r="U61" s="36" t="str">
        <f t="shared" si="3"/>
        <v/>
      </c>
      <c r="V61" t="str">
        <f>IFERROR(INDEX(Acuidade,ROW()),"")</f>
        <v/>
      </c>
      <c r="W61" t="str">
        <f t="shared" si="4"/>
        <v/>
      </c>
    </row>
    <row r="62" spans="18:23">
      <c r="R62" t="str">
        <f t="shared" si="0"/>
        <v/>
      </c>
      <c r="S62" t="str">
        <f t="shared" si="1"/>
        <v/>
      </c>
      <c r="T62" s="36" t="str">
        <f t="shared" si="2"/>
        <v/>
      </c>
      <c r="U62" s="36" t="str">
        <f t="shared" si="3"/>
        <v/>
      </c>
      <c r="V62" t="str">
        <f>IFERROR(INDEX(Acuidade,ROW()),"")</f>
        <v/>
      </c>
      <c r="W62" t="str">
        <f t="shared" si="4"/>
        <v/>
      </c>
    </row>
    <row r="63" spans="18:23">
      <c r="R63" t="str">
        <f t="shared" si="0"/>
        <v/>
      </c>
      <c r="S63" t="str">
        <f t="shared" si="1"/>
        <v/>
      </c>
      <c r="T63" s="36" t="str">
        <f t="shared" si="2"/>
        <v/>
      </c>
      <c r="U63" s="36" t="str">
        <f t="shared" si="3"/>
        <v/>
      </c>
      <c r="V63" t="str">
        <f>IFERROR(INDEX(Acuidade,ROW()),"")</f>
        <v/>
      </c>
      <c r="W63" t="str">
        <f t="shared" si="4"/>
        <v/>
      </c>
    </row>
    <row r="64" spans="18:23">
      <c r="R64" t="str">
        <f t="shared" si="0"/>
        <v/>
      </c>
      <c r="S64" t="str">
        <f t="shared" si="1"/>
        <v/>
      </c>
      <c r="T64" s="36" t="str">
        <f t="shared" si="2"/>
        <v/>
      </c>
      <c r="U64" s="36" t="str">
        <f t="shared" si="3"/>
        <v/>
      </c>
      <c r="V64" t="str">
        <f>IFERROR(INDEX(Acuidade,ROW()),"")</f>
        <v/>
      </c>
      <c r="W64" t="str">
        <f t="shared" si="4"/>
        <v/>
      </c>
    </row>
    <row r="65" spans="18:23">
      <c r="R65" t="str">
        <f t="shared" si="0"/>
        <v/>
      </c>
      <c r="S65" t="str">
        <f t="shared" si="1"/>
        <v/>
      </c>
      <c r="T65" s="36" t="str">
        <f t="shared" si="2"/>
        <v/>
      </c>
      <c r="U65" s="36" t="str">
        <f t="shared" si="3"/>
        <v/>
      </c>
      <c r="V65" t="str">
        <f>IFERROR(INDEX(Acuidade,ROW()),"")</f>
        <v/>
      </c>
      <c r="W65" t="str">
        <f t="shared" si="4"/>
        <v/>
      </c>
    </row>
    <row r="66" spans="18:23">
      <c r="R66" t="str">
        <f t="shared" ref="R66:R129" si="5">IFERROR(MID(V66,1,FIND("_",V66,1)-1),"")</f>
        <v/>
      </c>
      <c r="S66" t="str">
        <f t="shared" ref="S66:S129" si="6">IFERROR(MID(V66,FIND("_",V66,1)+1,5),"")</f>
        <v/>
      </c>
      <c r="T66" s="36" t="str">
        <f t="shared" ref="T66:T129" si="7">IFERROR(VALUE(MID(V66,FIND("_",V66,1)+7,4)),"")</f>
        <v/>
      </c>
      <c r="U66" s="36" t="str">
        <f t="shared" ref="U66:U129" si="8">IFERROR(T66+1,"")</f>
        <v/>
      </c>
      <c r="V66" t="str">
        <f>IFERROR(INDEX(Acuidade,ROW()),"")</f>
        <v/>
      </c>
      <c r="W66" t="str">
        <f t="shared" ref="W66:W129" si="9">IF(V66&lt;&gt;"",CONCATENATE($C$1,"\",V66),"")</f>
        <v/>
      </c>
    </row>
    <row r="67" spans="18:23">
      <c r="R67" t="str">
        <f t="shared" si="5"/>
        <v/>
      </c>
      <c r="S67" t="str">
        <f t="shared" si="6"/>
        <v/>
      </c>
      <c r="T67" s="36" t="str">
        <f t="shared" si="7"/>
        <v/>
      </c>
      <c r="U67" s="36" t="str">
        <f t="shared" si="8"/>
        <v/>
      </c>
      <c r="V67" t="str">
        <f>IFERROR(INDEX(Acuidade,ROW()),"")</f>
        <v/>
      </c>
      <c r="W67" t="str">
        <f t="shared" si="9"/>
        <v/>
      </c>
    </row>
    <row r="68" spans="18:23">
      <c r="R68" t="str">
        <f t="shared" si="5"/>
        <v/>
      </c>
      <c r="S68" t="str">
        <f t="shared" si="6"/>
        <v/>
      </c>
      <c r="T68" s="36" t="str">
        <f t="shared" si="7"/>
        <v/>
      </c>
      <c r="U68" s="36" t="str">
        <f t="shared" si="8"/>
        <v/>
      </c>
      <c r="V68" t="str">
        <f>IFERROR(INDEX(Acuidade,ROW()),"")</f>
        <v/>
      </c>
      <c r="W68" t="str">
        <f t="shared" si="9"/>
        <v/>
      </c>
    </row>
    <row r="69" spans="18:23">
      <c r="R69" t="str">
        <f t="shared" si="5"/>
        <v/>
      </c>
      <c r="S69" t="str">
        <f t="shared" si="6"/>
        <v/>
      </c>
      <c r="T69" s="36" t="str">
        <f t="shared" si="7"/>
        <v/>
      </c>
      <c r="U69" s="36" t="str">
        <f t="shared" si="8"/>
        <v/>
      </c>
      <c r="V69" t="str">
        <f>IFERROR(INDEX(Acuidade,ROW()),"")</f>
        <v/>
      </c>
      <c r="W69" t="str">
        <f t="shared" si="9"/>
        <v/>
      </c>
    </row>
    <row r="70" spans="18:23">
      <c r="R70" t="str">
        <f t="shared" si="5"/>
        <v/>
      </c>
      <c r="S70" t="str">
        <f t="shared" si="6"/>
        <v/>
      </c>
      <c r="T70" s="36" t="str">
        <f t="shared" si="7"/>
        <v/>
      </c>
      <c r="U70" s="36" t="str">
        <f t="shared" si="8"/>
        <v/>
      </c>
      <c r="V70" t="str">
        <f>IFERROR(INDEX(Acuidade,ROW()),"")</f>
        <v/>
      </c>
      <c r="W70" t="str">
        <f t="shared" si="9"/>
        <v/>
      </c>
    </row>
    <row r="71" spans="18:23">
      <c r="R71" t="str">
        <f t="shared" si="5"/>
        <v/>
      </c>
      <c r="S71" t="str">
        <f t="shared" si="6"/>
        <v/>
      </c>
      <c r="T71" s="36" t="str">
        <f t="shared" si="7"/>
        <v/>
      </c>
      <c r="U71" s="36" t="str">
        <f t="shared" si="8"/>
        <v/>
      </c>
      <c r="V71" t="str">
        <f>IFERROR(INDEX(Acuidade,ROW()),"")</f>
        <v/>
      </c>
      <c r="W71" t="str">
        <f t="shared" si="9"/>
        <v/>
      </c>
    </row>
    <row r="72" spans="18:23">
      <c r="R72" t="str">
        <f t="shared" si="5"/>
        <v/>
      </c>
      <c r="S72" t="str">
        <f t="shared" si="6"/>
        <v/>
      </c>
      <c r="T72" s="36" t="str">
        <f t="shared" si="7"/>
        <v/>
      </c>
      <c r="U72" s="36" t="str">
        <f t="shared" si="8"/>
        <v/>
      </c>
      <c r="V72" t="str">
        <f>IFERROR(INDEX(Acuidade,ROW()),"")</f>
        <v/>
      </c>
      <c r="W72" t="str">
        <f t="shared" si="9"/>
        <v/>
      </c>
    </row>
    <row r="73" spans="18:23">
      <c r="R73" t="str">
        <f t="shared" si="5"/>
        <v/>
      </c>
      <c r="S73" t="str">
        <f t="shared" si="6"/>
        <v/>
      </c>
      <c r="T73" s="36" t="str">
        <f t="shared" si="7"/>
        <v/>
      </c>
      <c r="U73" s="36" t="str">
        <f t="shared" si="8"/>
        <v/>
      </c>
      <c r="V73" t="str">
        <f>IFERROR(INDEX(Acuidade,ROW()),"")</f>
        <v/>
      </c>
      <c r="W73" t="str">
        <f t="shared" si="9"/>
        <v/>
      </c>
    </row>
    <row r="74" spans="18:23">
      <c r="R74" t="str">
        <f t="shared" si="5"/>
        <v/>
      </c>
      <c r="S74" t="str">
        <f t="shared" si="6"/>
        <v/>
      </c>
      <c r="T74" s="36" t="str">
        <f t="shared" si="7"/>
        <v/>
      </c>
      <c r="U74" s="36" t="str">
        <f t="shared" si="8"/>
        <v/>
      </c>
      <c r="V74" t="str">
        <f>IFERROR(INDEX(Acuidade,ROW()),"")</f>
        <v/>
      </c>
      <c r="W74" t="str">
        <f t="shared" si="9"/>
        <v/>
      </c>
    </row>
    <row r="75" spans="18:23">
      <c r="R75" t="str">
        <f t="shared" si="5"/>
        <v/>
      </c>
      <c r="S75" t="str">
        <f t="shared" si="6"/>
        <v/>
      </c>
      <c r="T75" s="36" t="str">
        <f t="shared" si="7"/>
        <v/>
      </c>
      <c r="U75" s="36" t="str">
        <f t="shared" si="8"/>
        <v/>
      </c>
      <c r="V75" t="str">
        <f>IFERROR(INDEX(Acuidade,ROW()),"")</f>
        <v/>
      </c>
      <c r="W75" t="str">
        <f t="shared" si="9"/>
        <v/>
      </c>
    </row>
    <row r="76" spans="18:23">
      <c r="R76" t="str">
        <f t="shared" si="5"/>
        <v/>
      </c>
      <c r="S76" t="str">
        <f t="shared" si="6"/>
        <v/>
      </c>
      <c r="T76" s="36" t="str">
        <f t="shared" si="7"/>
        <v/>
      </c>
      <c r="U76" s="36" t="str">
        <f t="shared" si="8"/>
        <v/>
      </c>
      <c r="V76" t="str">
        <f>IFERROR(INDEX(Acuidade,ROW()),"")</f>
        <v/>
      </c>
      <c r="W76" t="str">
        <f t="shared" si="9"/>
        <v/>
      </c>
    </row>
    <row r="77" spans="18:23">
      <c r="R77" t="str">
        <f t="shared" si="5"/>
        <v/>
      </c>
      <c r="S77" t="str">
        <f t="shared" si="6"/>
        <v/>
      </c>
      <c r="T77" s="36" t="str">
        <f t="shared" si="7"/>
        <v/>
      </c>
      <c r="U77" s="36" t="str">
        <f t="shared" si="8"/>
        <v/>
      </c>
      <c r="V77" t="str">
        <f>IFERROR(INDEX(Acuidade,ROW()),"")</f>
        <v/>
      </c>
      <c r="W77" t="str">
        <f t="shared" si="9"/>
        <v/>
      </c>
    </row>
    <row r="78" spans="18:23">
      <c r="R78" t="str">
        <f t="shared" si="5"/>
        <v/>
      </c>
      <c r="S78" t="str">
        <f t="shared" si="6"/>
        <v/>
      </c>
      <c r="T78" s="36" t="str">
        <f t="shared" si="7"/>
        <v/>
      </c>
      <c r="U78" s="36" t="str">
        <f t="shared" si="8"/>
        <v/>
      </c>
      <c r="V78" t="str">
        <f>IFERROR(INDEX(Acuidade,ROW()),"")</f>
        <v/>
      </c>
      <c r="W78" t="str">
        <f t="shared" si="9"/>
        <v/>
      </c>
    </row>
    <row r="79" spans="18:23">
      <c r="R79" t="str">
        <f t="shared" si="5"/>
        <v/>
      </c>
      <c r="S79" t="str">
        <f t="shared" si="6"/>
        <v/>
      </c>
      <c r="T79" s="36" t="str">
        <f t="shared" si="7"/>
        <v/>
      </c>
      <c r="U79" s="36" t="str">
        <f t="shared" si="8"/>
        <v/>
      </c>
      <c r="V79" t="str">
        <f>IFERROR(INDEX(Acuidade,ROW()),"")</f>
        <v/>
      </c>
      <c r="W79" t="str">
        <f t="shared" si="9"/>
        <v/>
      </c>
    </row>
    <row r="80" spans="18:23">
      <c r="R80" t="str">
        <f t="shared" si="5"/>
        <v/>
      </c>
      <c r="S80" t="str">
        <f t="shared" si="6"/>
        <v/>
      </c>
      <c r="T80" s="36" t="str">
        <f t="shared" si="7"/>
        <v/>
      </c>
      <c r="U80" s="36" t="str">
        <f t="shared" si="8"/>
        <v/>
      </c>
      <c r="V80" t="str">
        <f>IFERROR(INDEX(Acuidade,ROW()),"")</f>
        <v/>
      </c>
      <c r="W80" t="str">
        <f t="shared" si="9"/>
        <v/>
      </c>
    </row>
    <row r="81" spans="18:23">
      <c r="R81" t="str">
        <f t="shared" si="5"/>
        <v/>
      </c>
      <c r="S81" t="str">
        <f t="shared" si="6"/>
        <v/>
      </c>
      <c r="T81" s="36" t="str">
        <f t="shared" si="7"/>
        <v/>
      </c>
      <c r="U81" s="36" t="str">
        <f t="shared" si="8"/>
        <v/>
      </c>
      <c r="V81" t="str">
        <f>IFERROR(INDEX(Acuidade,ROW()),"")</f>
        <v/>
      </c>
      <c r="W81" t="str">
        <f t="shared" si="9"/>
        <v/>
      </c>
    </row>
    <row r="82" spans="18:23">
      <c r="R82" t="str">
        <f t="shared" si="5"/>
        <v/>
      </c>
      <c r="S82" t="str">
        <f t="shared" si="6"/>
        <v/>
      </c>
      <c r="T82" s="36" t="str">
        <f t="shared" si="7"/>
        <v/>
      </c>
      <c r="U82" s="36" t="str">
        <f t="shared" si="8"/>
        <v/>
      </c>
      <c r="V82" t="str">
        <f>IFERROR(INDEX(Acuidade,ROW()),"")</f>
        <v/>
      </c>
      <c r="W82" t="str">
        <f t="shared" si="9"/>
        <v/>
      </c>
    </row>
    <row r="83" spans="18:23">
      <c r="R83" t="str">
        <f t="shared" si="5"/>
        <v/>
      </c>
      <c r="S83" t="str">
        <f t="shared" si="6"/>
        <v/>
      </c>
      <c r="T83" s="36" t="str">
        <f t="shared" si="7"/>
        <v/>
      </c>
      <c r="U83" s="36" t="str">
        <f t="shared" si="8"/>
        <v/>
      </c>
      <c r="V83" t="str">
        <f>IFERROR(INDEX(Acuidade,ROW()),"")</f>
        <v/>
      </c>
      <c r="W83" t="str">
        <f t="shared" si="9"/>
        <v/>
      </c>
    </row>
    <row r="84" spans="18:23">
      <c r="R84" t="str">
        <f t="shared" si="5"/>
        <v/>
      </c>
      <c r="S84" t="str">
        <f t="shared" si="6"/>
        <v/>
      </c>
      <c r="T84" s="36" t="str">
        <f t="shared" si="7"/>
        <v/>
      </c>
      <c r="U84" s="36" t="str">
        <f t="shared" si="8"/>
        <v/>
      </c>
      <c r="V84" t="str">
        <f>IFERROR(INDEX(Acuidade,ROW()),"")</f>
        <v/>
      </c>
      <c r="W84" t="str">
        <f t="shared" si="9"/>
        <v/>
      </c>
    </row>
    <row r="85" spans="18:23">
      <c r="R85" t="str">
        <f t="shared" si="5"/>
        <v/>
      </c>
      <c r="S85" t="str">
        <f t="shared" si="6"/>
        <v/>
      </c>
      <c r="T85" s="36" t="str">
        <f t="shared" si="7"/>
        <v/>
      </c>
      <c r="U85" s="36" t="str">
        <f t="shared" si="8"/>
        <v/>
      </c>
      <c r="V85" t="str">
        <f>IFERROR(INDEX(Acuidade,ROW()),"")</f>
        <v/>
      </c>
      <c r="W85" t="str">
        <f t="shared" si="9"/>
        <v/>
      </c>
    </row>
    <row r="86" spans="18:23">
      <c r="R86" t="str">
        <f t="shared" si="5"/>
        <v/>
      </c>
      <c r="S86" t="str">
        <f t="shared" si="6"/>
        <v/>
      </c>
      <c r="T86" s="36" t="str">
        <f t="shared" si="7"/>
        <v/>
      </c>
      <c r="U86" s="36" t="str">
        <f t="shared" si="8"/>
        <v/>
      </c>
      <c r="V86" t="str">
        <f>IFERROR(INDEX(Acuidade,ROW()),"")</f>
        <v/>
      </c>
      <c r="W86" t="str">
        <f t="shared" si="9"/>
        <v/>
      </c>
    </row>
    <row r="87" spans="18:23">
      <c r="R87" t="str">
        <f t="shared" si="5"/>
        <v/>
      </c>
      <c r="S87" t="str">
        <f t="shared" si="6"/>
        <v/>
      </c>
      <c r="T87" s="36" t="str">
        <f t="shared" si="7"/>
        <v/>
      </c>
      <c r="U87" s="36" t="str">
        <f t="shared" si="8"/>
        <v/>
      </c>
      <c r="V87" t="str">
        <f>IFERROR(INDEX(Acuidade,ROW()),"")</f>
        <v/>
      </c>
      <c r="W87" t="str">
        <f t="shared" si="9"/>
        <v/>
      </c>
    </row>
    <row r="88" spans="18:23">
      <c r="R88" t="str">
        <f t="shared" si="5"/>
        <v/>
      </c>
      <c r="S88" t="str">
        <f t="shared" si="6"/>
        <v/>
      </c>
      <c r="T88" s="36" t="str">
        <f t="shared" si="7"/>
        <v/>
      </c>
      <c r="U88" s="36" t="str">
        <f t="shared" si="8"/>
        <v/>
      </c>
      <c r="V88" t="str">
        <f>IFERROR(INDEX(Acuidade,ROW()),"")</f>
        <v/>
      </c>
      <c r="W88" t="str">
        <f t="shared" si="9"/>
        <v/>
      </c>
    </row>
    <row r="89" spans="18:23">
      <c r="R89" t="str">
        <f t="shared" si="5"/>
        <v/>
      </c>
      <c r="S89" t="str">
        <f t="shared" si="6"/>
        <v/>
      </c>
      <c r="T89" s="36" t="str">
        <f t="shared" si="7"/>
        <v/>
      </c>
      <c r="U89" s="36" t="str">
        <f t="shared" si="8"/>
        <v/>
      </c>
      <c r="V89" t="str">
        <f>IFERROR(INDEX(Acuidade,ROW()),"")</f>
        <v/>
      </c>
      <c r="W89" t="str">
        <f t="shared" si="9"/>
        <v/>
      </c>
    </row>
    <row r="90" spans="18:23">
      <c r="R90" t="str">
        <f t="shared" si="5"/>
        <v/>
      </c>
      <c r="S90" t="str">
        <f t="shared" si="6"/>
        <v/>
      </c>
      <c r="T90" s="36" t="str">
        <f t="shared" si="7"/>
        <v/>
      </c>
      <c r="U90" s="36" t="str">
        <f t="shared" si="8"/>
        <v/>
      </c>
      <c r="V90" t="str">
        <f>IFERROR(INDEX(Acuidade,ROW()),"")</f>
        <v/>
      </c>
      <c r="W90" t="str">
        <f t="shared" si="9"/>
        <v/>
      </c>
    </row>
    <row r="91" spans="18:23">
      <c r="R91" t="str">
        <f t="shared" si="5"/>
        <v/>
      </c>
      <c r="S91" t="str">
        <f t="shared" si="6"/>
        <v/>
      </c>
      <c r="T91" s="36" t="str">
        <f t="shared" si="7"/>
        <v/>
      </c>
      <c r="U91" s="36" t="str">
        <f t="shared" si="8"/>
        <v/>
      </c>
      <c r="V91" t="str">
        <f>IFERROR(INDEX(Acuidade,ROW()),"")</f>
        <v/>
      </c>
      <c r="W91" t="str">
        <f t="shared" si="9"/>
        <v/>
      </c>
    </row>
    <row r="92" spans="18:23">
      <c r="R92" t="str">
        <f t="shared" si="5"/>
        <v/>
      </c>
      <c r="S92" t="str">
        <f t="shared" si="6"/>
        <v/>
      </c>
      <c r="T92" s="36" t="str">
        <f t="shared" si="7"/>
        <v/>
      </c>
      <c r="U92" s="36" t="str">
        <f t="shared" si="8"/>
        <v/>
      </c>
      <c r="V92" t="str">
        <f>IFERROR(INDEX(Acuidade,ROW()),"")</f>
        <v/>
      </c>
      <c r="W92" t="str">
        <f t="shared" si="9"/>
        <v/>
      </c>
    </row>
    <row r="93" spans="18:23">
      <c r="R93" t="str">
        <f t="shared" si="5"/>
        <v/>
      </c>
      <c r="S93" t="str">
        <f t="shared" si="6"/>
        <v/>
      </c>
      <c r="T93" s="36" t="str">
        <f t="shared" si="7"/>
        <v/>
      </c>
      <c r="U93" s="36" t="str">
        <f t="shared" si="8"/>
        <v/>
      </c>
      <c r="V93" t="str">
        <f>IFERROR(INDEX(Acuidade,ROW()),"")</f>
        <v/>
      </c>
      <c r="W93" t="str">
        <f t="shared" si="9"/>
        <v/>
      </c>
    </row>
    <row r="94" spans="18:23">
      <c r="R94" t="str">
        <f t="shared" si="5"/>
        <v/>
      </c>
      <c r="S94" t="str">
        <f t="shared" si="6"/>
        <v/>
      </c>
      <c r="T94" s="36" t="str">
        <f t="shared" si="7"/>
        <v/>
      </c>
      <c r="U94" s="36" t="str">
        <f t="shared" si="8"/>
        <v/>
      </c>
      <c r="V94" t="str">
        <f>IFERROR(INDEX(Acuidade,ROW()),"")</f>
        <v/>
      </c>
      <c r="W94" t="str">
        <f t="shared" si="9"/>
        <v/>
      </c>
    </row>
    <row r="95" spans="18:23">
      <c r="R95" t="str">
        <f t="shared" si="5"/>
        <v/>
      </c>
      <c r="S95" t="str">
        <f t="shared" si="6"/>
        <v/>
      </c>
      <c r="T95" s="36" t="str">
        <f t="shared" si="7"/>
        <v/>
      </c>
      <c r="U95" s="36" t="str">
        <f t="shared" si="8"/>
        <v/>
      </c>
      <c r="V95" t="str">
        <f>IFERROR(INDEX(Acuidade,ROW()),"")</f>
        <v/>
      </c>
      <c r="W95" t="str">
        <f t="shared" si="9"/>
        <v/>
      </c>
    </row>
    <row r="96" spans="18:23">
      <c r="R96" t="str">
        <f t="shared" si="5"/>
        <v/>
      </c>
      <c r="S96" t="str">
        <f t="shared" si="6"/>
        <v/>
      </c>
      <c r="T96" s="36" t="str">
        <f t="shared" si="7"/>
        <v/>
      </c>
      <c r="U96" s="36" t="str">
        <f t="shared" si="8"/>
        <v/>
      </c>
      <c r="V96" t="str">
        <f>IFERROR(INDEX(Acuidade,ROW()),"")</f>
        <v/>
      </c>
      <c r="W96" t="str">
        <f t="shared" si="9"/>
        <v/>
      </c>
    </row>
    <row r="97" spans="18:23">
      <c r="R97" t="str">
        <f t="shared" si="5"/>
        <v/>
      </c>
      <c r="S97" t="str">
        <f t="shared" si="6"/>
        <v/>
      </c>
      <c r="T97" s="36" t="str">
        <f t="shared" si="7"/>
        <v/>
      </c>
      <c r="U97" s="36" t="str">
        <f t="shared" si="8"/>
        <v/>
      </c>
      <c r="V97" t="str">
        <f>IFERROR(INDEX(Acuidade,ROW()),"")</f>
        <v/>
      </c>
      <c r="W97" t="str">
        <f t="shared" si="9"/>
        <v/>
      </c>
    </row>
    <row r="98" spans="18:23">
      <c r="R98" t="str">
        <f t="shared" si="5"/>
        <v/>
      </c>
      <c r="S98" t="str">
        <f t="shared" si="6"/>
        <v/>
      </c>
      <c r="T98" s="36" t="str">
        <f t="shared" si="7"/>
        <v/>
      </c>
      <c r="U98" s="36" t="str">
        <f t="shared" si="8"/>
        <v/>
      </c>
      <c r="V98" t="str">
        <f>IFERROR(INDEX(Acuidade,ROW()),"")</f>
        <v/>
      </c>
      <c r="W98" t="str">
        <f t="shared" si="9"/>
        <v/>
      </c>
    </row>
    <row r="99" spans="18:23">
      <c r="R99" t="str">
        <f t="shared" si="5"/>
        <v/>
      </c>
      <c r="S99" t="str">
        <f t="shared" si="6"/>
        <v/>
      </c>
      <c r="T99" s="36" t="str">
        <f t="shared" si="7"/>
        <v/>
      </c>
      <c r="U99" s="36" t="str">
        <f t="shared" si="8"/>
        <v/>
      </c>
      <c r="V99" t="str">
        <f>IFERROR(INDEX(Acuidade,ROW()),"")</f>
        <v/>
      </c>
      <c r="W99" t="str">
        <f t="shared" si="9"/>
        <v/>
      </c>
    </row>
    <row r="100" spans="18:23">
      <c r="R100" t="str">
        <f t="shared" si="5"/>
        <v/>
      </c>
      <c r="S100" t="str">
        <f t="shared" si="6"/>
        <v/>
      </c>
      <c r="T100" s="36" t="str">
        <f t="shared" si="7"/>
        <v/>
      </c>
      <c r="U100" s="36" t="str">
        <f t="shared" si="8"/>
        <v/>
      </c>
      <c r="V100" t="str">
        <f>IFERROR(INDEX(Acuidade,ROW()),"")</f>
        <v/>
      </c>
      <c r="W100" t="str">
        <f t="shared" si="9"/>
        <v/>
      </c>
    </row>
    <row r="101" spans="18:23">
      <c r="R101" t="str">
        <f t="shared" si="5"/>
        <v/>
      </c>
      <c r="S101" t="str">
        <f t="shared" si="6"/>
        <v/>
      </c>
      <c r="T101" s="36" t="str">
        <f t="shared" si="7"/>
        <v/>
      </c>
      <c r="U101" s="36" t="str">
        <f t="shared" si="8"/>
        <v/>
      </c>
      <c r="V101" t="str">
        <f>IFERROR(INDEX(Acuidade,ROW()),"")</f>
        <v/>
      </c>
      <c r="W101" t="str">
        <f t="shared" si="9"/>
        <v/>
      </c>
    </row>
    <row r="102" spans="18:23">
      <c r="R102" t="str">
        <f t="shared" si="5"/>
        <v/>
      </c>
      <c r="S102" t="str">
        <f t="shared" si="6"/>
        <v/>
      </c>
      <c r="T102" s="36" t="str">
        <f t="shared" si="7"/>
        <v/>
      </c>
      <c r="U102" s="36" t="str">
        <f t="shared" si="8"/>
        <v/>
      </c>
      <c r="V102" t="str">
        <f>IFERROR(INDEX(Acuidade,ROW()),"")</f>
        <v/>
      </c>
      <c r="W102" t="str">
        <f t="shared" si="9"/>
        <v/>
      </c>
    </row>
    <row r="103" spans="18:23">
      <c r="R103" t="str">
        <f t="shared" si="5"/>
        <v/>
      </c>
      <c r="S103" t="str">
        <f t="shared" si="6"/>
        <v/>
      </c>
      <c r="T103" s="36" t="str">
        <f t="shared" si="7"/>
        <v/>
      </c>
      <c r="U103" s="36" t="str">
        <f t="shared" si="8"/>
        <v/>
      </c>
      <c r="V103" t="str">
        <f>IFERROR(INDEX(Acuidade,ROW()),"")</f>
        <v/>
      </c>
      <c r="W103" t="str">
        <f t="shared" si="9"/>
        <v/>
      </c>
    </row>
    <row r="104" spans="18:23">
      <c r="R104" t="str">
        <f t="shared" si="5"/>
        <v/>
      </c>
      <c r="S104" t="str">
        <f t="shared" si="6"/>
        <v/>
      </c>
      <c r="T104" s="36" t="str">
        <f t="shared" si="7"/>
        <v/>
      </c>
      <c r="U104" s="36" t="str">
        <f t="shared" si="8"/>
        <v/>
      </c>
      <c r="V104" t="str">
        <f>IFERROR(INDEX(Acuidade,ROW()),"")</f>
        <v/>
      </c>
      <c r="W104" t="str">
        <f t="shared" si="9"/>
        <v/>
      </c>
    </row>
    <row r="105" spans="18:23">
      <c r="R105" t="str">
        <f t="shared" si="5"/>
        <v/>
      </c>
      <c r="S105" t="str">
        <f t="shared" si="6"/>
        <v/>
      </c>
      <c r="T105" s="36" t="str">
        <f t="shared" si="7"/>
        <v/>
      </c>
      <c r="U105" s="36" t="str">
        <f t="shared" si="8"/>
        <v/>
      </c>
      <c r="V105" t="str">
        <f>IFERROR(INDEX(Acuidade,ROW()),"")</f>
        <v/>
      </c>
      <c r="W105" t="str">
        <f t="shared" si="9"/>
        <v/>
      </c>
    </row>
    <row r="106" spans="18:23">
      <c r="R106" t="str">
        <f t="shared" si="5"/>
        <v/>
      </c>
      <c r="S106" t="str">
        <f t="shared" si="6"/>
        <v/>
      </c>
      <c r="T106" s="36" t="str">
        <f t="shared" si="7"/>
        <v/>
      </c>
      <c r="U106" s="36" t="str">
        <f t="shared" si="8"/>
        <v/>
      </c>
      <c r="V106" t="str">
        <f>IFERROR(INDEX(Acuidade,ROW()),"")</f>
        <v/>
      </c>
      <c r="W106" t="str">
        <f t="shared" si="9"/>
        <v/>
      </c>
    </row>
    <row r="107" spans="18:23">
      <c r="R107" t="str">
        <f t="shared" si="5"/>
        <v/>
      </c>
      <c r="S107" t="str">
        <f t="shared" si="6"/>
        <v/>
      </c>
      <c r="T107" s="36" t="str">
        <f t="shared" si="7"/>
        <v/>
      </c>
      <c r="U107" s="36" t="str">
        <f t="shared" si="8"/>
        <v/>
      </c>
      <c r="V107" t="str">
        <f>IFERROR(INDEX(Acuidade,ROW()),"")</f>
        <v/>
      </c>
      <c r="W107" t="str">
        <f t="shared" si="9"/>
        <v/>
      </c>
    </row>
    <row r="108" spans="18:23">
      <c r="R108" t="str">
        <f t="shared" si="5"/>
        <v/>
      </c>
      <c r="S108" t="str">
        <f t="shared" si="6"/>
        <v/>
      </c>
      <c r="T108" s="36" t="str">
        <f t="shared" si="7"/>
        <v/>
      </c>
      <c r="U108" s="36" t="str">
        <f t="shared" si="8"/>
        <v/>
      </c>
      <c r="V108" t="str">
        <f>IFERROR(INDEX(Acuidade,ROW()),"")</f>
        <v/>
      </c>
      <c r="W108" t="str">
        <f t="shared" si="9"/>
        <v/>
      </c>
    </row>
    <row r="109" spans="18:23">
      <c r="R109" t="str">
        <f t="shared" si="5"/>
        <v/>
      </c>
      <c r="S109" t="str">
        <f t="shared" si="6"/>
        <v/>
      </c>
      <c r="T109" s="36" t="str">
        <f t="shared" si="7"/>
        <v/>
      </c>
      <c r="U109" s="36" t="str">
        <f t="shared" si="8"/>
        <v/>
      </c>
      <c r="V109" t="str">
        <f>IFERROR(INDEX(Acuidade,ROW()),"")</f>
        <v/>
      </c>
      <c r="W109" t="str">
        <f t="shared" si="9"/>
        <v/>
      </c>
    </row>
    <row r="110" spans="18:23">
      <c r="R110" t="str">
        <f t="shared" si="5"/>
        <v/>
      </c>
      <c r="S110" t="str">
        <f t="shared" si="6"/>
        <v/>
      </c>
      <c r="T110" s="36" t="str">
        <f t="shared" si="7"/>
        <v/>
      </c>
      <c r="U110" s="36" t="str">
        <f t="shared" si="8"/>
        <v/>
      </c>
      <c r="V110" t="str">
        <f>IFERROR(INDEX(Acuidade,ROW()),"")</f>
        <v/>
      </c>
      <c r="W110" t="str">
        <f t="shared" si="9"/>
        <v/>
      </c>
    </row>
    <row r="111" spans="18:23">
      <c r="R111" t="str">
        <f t="shared" si="5"/>
        <v/>
      </c>
      <c r="S111" t="str">
        <f t="shared" si="6"/>
        <v/>
      </c>
      <c r="T111" s="36" t="str">
        <f t="shared" si="7"/>
        <v/>
      </c>
      <c r="U111" s="36" t="str">
        <f t="shared" si="8"/>
        <v/>
      </c>
      <c r="V111" t="str">
        <f>IFERROR(INDEX(Acuidade,ROW()),"")</f>
        <v/>
      </c>
      <c r="W111" t="str">
        <f t="shared" si="9"/>
        <v/>
      </c>
    </row>
    <row r="112" spans="18:23">
      <c r="R112" t="str">
        <f t="shared" si="5"/>
        <v/>
      </c>
      <c r="S112" t="str">
        <f t="shared" si="6"/>
        <v/>
      </c>
      <c r="T112" s="36" t="str">
        <f t="shared" si="7"/>
        <v/>
      </c>
      <c r="U112" s="36" t="str">
        <f t="shared" si="8"/>
        <v/>
      </c>
      <c r="V112" t="str">
        <f>IFERROR(INDEX(Acuidade,ROW()),"")</f>
        <v/>
      </c>
      <c r="W112" t="str">
        <f t="shared" si="9"/>
        <v/>
      </c>
    </row>
    <row r="113" spans="18:23">
      <c r="R113" t="str">
        <f t="shared" si="5"/>
        <v/>
      </c>
      <c r="S113" t="str">
        <f t="shared" si="6"/>
        <v/>
      </c>
      <c r="T113" s="36" t="str">
        <f t="shared" si="7"/>
        <v/>
      </c>
      <c r="U113" s="36" t="str">
        <f t="shared" si="8"/>
        <v/>
      </c>
      <c r="V113" t="str">
        <f>IFERROR(INDEX(Acuidade,ROW()),"")</f>
        <v/>
      </c>
      <c r="W113" t="str">
        <f t="shared" si="9"/>
        <v/>
      </c>
    </row>
    <row r="114" spans="18:23">
      <c r="R114" t="str">
        <f t="shared" si="5"/>
        <v/>
      </c>
      <c r="S114" t="str">
        <f t="shared" si="6"/>
        <v/>
      </c>
      <c r="T114" s="36" t="str">
        <f t="shared" si="7"/>
        <v/>
      </c>
      <c r="U114" s="36" t="str">
        <f t="shared" si="8"/>
        <v/>
      </c>
      <c r="V114" t="str">
        <f>IFERROR(INDEX(Acuidade,ROW()),"")</f>
        <v/>
      </c>
      <c r="W114" t="str">
        <f t="shared" si="9"/>
        <v/>
      </c>
    </row>
    <row r="115" spans="18:23">
      <c r="R115" t="str">
        <f t="shared" si="5"/>
        <v/>
      </c>
      <c r="S115" t="str">
        <f t="shared" si="6"/>
        <v/>
      </c>
      <c r="T115" s="36" t="str">
        <f t="shared" si="7"/>
        <v/>
      </c>
      <c r="U115" s="36" t="str">
        <f t="shared" si="8"/>
        <v/>
      </c>
      <c r="V115" t="str">
        <f>IFERROR(INDEX(Acuidade,ROW()),"")</f>
        <v/>
      </c>
      <c r="W115" t="str">
        <f t="shared" si="9"/>
        <v/>
      </c>
    </row>
    <row r="116" spans="18:23">
      <c r="R116" t="str">
        <f t="shared" si="5"/>
        <v/>
      </c>
      <c r="S116" t="str">
        <f t="shared" si="6"/>
        <v/>
      </c>
      <c r="T116" s="36" t="str">
        <f t="shared" si="7"/>
        <v/>
      </c>
      <c r="U116" s="36" t="str">
        <f t="shared" si="8"/>
        <v/>
      </c>
      <c r="V116" t="str">
        <f>IFERROR(INDEX(Acuidade,ROW()),"")</f>
        <v/>
      </c>
      <c r="W116" t="str">
        <f t="shared" si="9"/>
        <v/>
      </c>
    </row>
    <row r="117" spans="18:23">
      <c r="R117" t="str">
        <f t="shared" si="5"/>
        <v/>
      </c>
      <c r="S117" t="str">
        <f t="shared" si="6"/>
        <v/>
      </c>
      <c r="T117" s="36" t="str">
        <f t="shared" si="7"/>
        <v/>
      </c>
      <c r="U117" s="36" t="str">
        <f t="shared" si="8"/>
        <v/>
      </c>
      <c r="V117" t="str">
        <f>IFERROR(INDEX(Acuidade,ROW()),"")</f>
        <v/>
      </c>
      <c r="W117" t="str">
        <f t="shared" si="9"/>
        <v/>
      </c>
    </row>
    <row r="118" spans="18:23">
      <c r="R118" t="str">
        <f t="shared" si="5"/>
        <v/>
      </c>
      <c r="S118" t="str">
        <f t="shared" si="6"/>
        <v/>
      </c>
      <c r="T118" s="36" t="str">
        <f t="shared" si="7"/>
        <v/>
      </c>
      <c r="U118" s="36" t="str">
        <f t="shared" si="8"/>
        <v/>
      </c>
      <c r="V118" t="str">
        <f>IFERROR(INDEX(Acuidade,ROW()),"")</f>
        <v/>
      </c>
      <c r="W118" t="str">
        <f t="shared" si="9"/>
        <v/>
      </c>
    </row>
    <row r="119" spans="18:23">
      <c r="R119" t="str">
        <f t="shared" si="5"/>
        <v/>
      </c>
      <c r="S119" t="str">
        <f t="shared" si="6"/>
        <v/>
      </c>
      <c r="T119" s="36" t="str">
        <f t="shared" si="7"/>
        <v/>
      </c>
      <c r="U119" s="36" t="str">
        <f t="shared" si="8"/>
        <v/>
      </c>
      <c r="V119" t="str">
        <f>IFERROR(INDEX(Acuidade,ROW()),"")</f>
        <v/>
      </c>
      <c r="W119" t="str">
        <f t="shared" si="9"/>
        <v/>
      </c>
    </row>
    <row r="120" spans="18:23">
      <c r="R120" t="str">
        <f t="shared" si="5"/>
        <v/>
      </c>
      <c r="S120" t="str">
        <f t="shared" si="6"/>
        <v/>
      </c>
      <c r="T120" s="36" t="str">
        <f t="shared" si="7"/>
        <v/>
      </c>
      <c r="U120" s="36" t="str">
        <f t="shared" si="8"/>
        <v/>
      </c>
      <c r="V120" t="str">
        <f>IFERROR(INDEX(Acuidade,ROW()),"")</f>
        <v/>
      </c>
      <c r="W120" t="str">
        <f t="shared" si="9"/>
        <v/>
      </c>
    </row>
    <row r="121" spans="18:23">
      <c r="R121" t="str">
        <f t="shared" si="5"/>
        <v/>
      </c>
      <c r="S121" t="str">
        <f t="shared" si="6"/>
        <v/>
      </c>
      <c r="T121" s="36" t="str">
        <f t="shared" si="7"/>
        <v/>
      </c>
      <c r="U121" s="36" t="str">
        <f t="shared" si="8"/>
        <v/>
      </c>
      <c r="V121" t="str">
        <f>IFERROR(INDEX(Acuidade,ROW()),"")</f>
        <v/>
      </c>
      <c r="W121" t="str">
        <f t="shared" si="9"/>
        <v/>
      </c>
    </row>
    <row r="122" spans="18:23">
      <c r="R122" t="str">
        <f t="shared" si="5"/>
        <v/>
      </c>
      <c r="S122" t="str">
        <f t="shared" si="6"/>
        <v/>
      </c>
      <c r="T122" s="36" t="str">
        <f t="shared" si="7"/>
        <v/>
      </c>
      <c r="U122" s="36" t="str">
        <f t="shared" si="8"/>
        <v/>
      </c>
      <c r="V122" t="str">
        <f>IFERROR(INDEX(Acuidade,ROW()),"")</f>
        <v/>
      </c>
      <c r="W122" t="str">
        <f t="shared" si="9"/>
        <v/>
      </c>
    </row>
    <row r="123" spans="18:23">
      <c r="R123" t="str">
        <f t="shared" si="5"/>
        <v/>
      </c>
      <c r="S123" t="str">
        <f t="shared" si="6"/>
        <v/>
      </c>
      <c r="T123" s="36" t="str">
        <f t="shared" si="7"/>
        <v/>
      </c>
      <c r="U123" s="36" t="str">
        <f t="shared" si="8"/>
        <v/>
      </c>
      <c r="V123" t="str">
        <f>IFERROR(INDEX(Acuidade,ROW()),"")</f>
        <v/>
      </c>
      <c r="W123" t="str">
        <f t="shared" si="9"/>
        <v/>
      </c>
    </row>
    <row r="124" spans="18:23">
      <c r="R124" t="str">
        <f t="shared" si="5"/>
        <v/>
      </c>
      <c r="S124" t="str">
        <f t="shared" si="6"/>
        <v/>
      </c>
      <c r="T124" s="36" t="str">
        <f t="shared" si="7"/>
        <v/>
      </c>
      <c r="U124" s="36" t="str">
        <f t="shared" si="8"/>
        <v/>
      </c>
      <c r="V124" t="str">
        <f>IFERROR(INDEX(Acuidade,ROW()),"")</f>
        <v/>
      </c>
      <c r="W124" t="str">
        <f t="shared" si="9"/>
        <v/>
      </c>
    </row>
    <row r="125" spans="18:23">
      <c r="R125" t="str">
        <f t="shared" si="5"/>
        <v/>
      </c>
      <c r="S125" t="str">
        <f t="shared" si="6"/>
        <v/>
      </c>
      <c r="T125" s="36" t="str">
        <f t="shared" si="7"/>
        <v/>
      </c>
      <c r="U125" s="36" t="str">
        <f t="shared" si="8"/>
        <v/>
      </c>
      <c r="V125" t="str">
        <f>IFERROR(INDEX(Acuidade,ROW()),"")</f>
        <v/>
      </c>
      <c r="W125" t="str">
        <f t="shared" si="9"/>
        <v/>
      </c>
    </row>
    <row r="126" spans="18:23">
      <c r="R126" t="str">
        <f t="shared" si="5"/>
        <v/>
      </c>
      <c r="S126" t="str">
        <f t="shared" si="6"/>
        <v/>
      </c>
      <c r="T126" s="36" t="str">
        <f t="shared" si="7"/>
        <v/>
      </c>
      <c r="U126" s="36" t="str">
        <f t="shared" si="8"/>
        <v/>
      </c>
      <c r="V126" t="str">
        <f>IFERROR(INDEX(Acuidade,ROW()),"")</f>
        <v/>
      </c>
      <c r="W126" t="str">
        <f t="shared" si="9"/>
        <v/>
      </c>
    </row>
    <row r="127" spans="18:23">
      <c r="R127" t="str">
        <f t="shared" si="5"/>
        <v/>
      </c>
      <c r="S127" t="str">
        <f t="shared" si="6"/>
        <v/>
      </c>
      <c r="T127" s="36" t="str">
        <f t="shared" si="7"/>
        <v/>
      </c>
      <c r="U127" s="36" t="str">
        <f t="shared" si="8"/>
        <v/>
      </c>
      <c r="V127" t="str">
        <f>IFERROR(INDEX(Acuidade,ROW()),"")</f>
        <v/>
      </c>
      <c r="W127" t="str">
        <f t="shared" si="9"/>
        <v/>
      </c>
    </row>
    <row r="128" spans="18:23">
      <c r="R128" t="str">
        <f t="shared" si="5"/>
        <v/>
      </c>
      <c r="S128" t="str">
        <f t="shared" si="6"/>
        <v/>
      </c>
      <c r="T128" s="36" t="str">
        <f t="shared" si="7"/>
        <v/>
      </c>
      <c r="U128" s="36" t="str">
        <f t="shared" si="8"/>
        <v/>
      </c>
      <c r="V128" t="str">
        <f>IFERROR(INDEX(Acuidade,ROW()),"")</f>
        <v/>
      </c>
      <c r="W128" t="str">
        <f t="shared" si="9"/>
        <v/>
      </c>
    </row>
    <row r="129" spans="18:23">
      <c r="R129" t="str">
        <f t="shared" si="5"/>
        <v/>
      </c>
      <c r="S129" t="str">
        <f t="shared" si="6"/>
        <v/>
      </c>
      <c r="T129" s="36" t="str">
        <f t="shared" si="7"/>
        <v/>
      </c>
      <c r="U129" s="36" t="str">
        <f t="shared" si="8"/>
        <v/>
      </c>
      <c r="V129" t="str">
        <f>IFERROR(INDEX(Acuidade,ROW()),"")</f>
        <v/>
      </c>
      <c r="W129" t="str">
        <f t="shared" si="9"/>
        <v/>
      </c>
    </row>
    <row r="130" spans="18:23">
      <c r="R130" t="str">
        <f t="shared" ref="R130:R193" si="10">IFERROR(MID(V130,1,FIND("_",V130,1)-1),"")</f>
        <v/>
      </c>
      <c r="S130" t="str">
        <f t="shared" ref="S130:S193" si="11">IFERROR(MID(V130,FIND("_",V130,1)+1,5),"")</f>
        <v/>
      </c>
      <c r="T130" s="36" t="str">
        <f t="shared" ref="T130:T193" si="12">IFERROR(VALUE(MID(V130,FIND("_",V130,1)+7,4)),"")</f>
        <v/>
      </c>
      <c r="U130" s="36" t="str">
        <f t="shared" ref="U130:U193" si="13">IFERROR(T130+1,"")</f>
        <v/>
      </c>
      <c r="V130" t="str">
        <f>IFERROR(INDEX(Acuidade,ROW()),"")</f>
        <v/>
      </c>
      <c r="W130" t="str">
        <f t="shared" ref="W130:W181" si="14">IF(V130&lt;&gt;"",CONCATENATE($C$1,"\",V130),"")</f>
        <v/>
      </c>
    </row>
    <row r="131" spans="18:23">
      <c r="R131" t="str">
        <f t="shared" si="10"/>
        <v/>
      </c>
      <c r="S131" t="str">
        <f t="shared" si="11"/>
        <v/>
      </c>
      <c r="T131" s="36" t="str">
        <f t="shared" si="12"/>
        <v/>
      </c>
      <c r="U131" s="36" t="str">
        <f t="shared" si="13"/>
        <v/>
      </c>
      <c r="V131" t="str">
        <f>IFERROR(INDEX(Acuidade,ROW()),"")</f>
        <v/>
      </c>
      <c r="W131" t="str">
        <f t="shared" si="14"/>
        <v/>
      </c>
    </row>
    <row r="132" spans="18:23">
      <c r="R132" t="str">
        <f t="shared" si="10"/>
        <v/>
      </c>
      <c r="S132" t="str">
        <f t="shared" si="11"/>
        <v/>
      </c>
      <c r="T132" s="36" t="str">
        <f t="shared" si="12"/>
        <v/>
      </c>
      <c r="U132" s="36" t="str">
        <f t="shared" si="13"/>
        <v/>
      </c>
      <c r="V132" t="str">
        <f>IFERROR(INDEX(Acuidade,ROW()),"")</f>
        <v/>
      </c>
      <c r="W132" t="str">
        <f t="shared" si="14"/>
        <v/>
      </c>
    </row>
    <row r="133" spans="18:23">
      <c r="R133" t="str">
        <f t="shared" si="10"/>
        <v/>
      </c>
      <c r="S133" t="str">
        <f t="shared" si="11"/>
        <v/>
      </c>
      <c r="T133" s="36" t="str">
        <f t="shared" si="12"/>
        <v/>
      </c>
      <c r="U133" s="36" t="str">
        <f t="shared" si="13"/>
        <v/>
      </c>
      <c r="V133" t="str">
        <f>IFERROR(INDEX(Acuidade,ROW()),"")</f>
        <v/>
      </c>
      <c r="W133" t="str">
        <f t="shared" si="14"/>
        <v/>
      </c>
    </row>
    <row r="134" spans="18:23">
      <c r="R134" t="str">
        <f t="shared" si="10"/>
        <v/>
      </c>
      <c r="S134" t="str">
        <f t="shared" si="11"/>
        <v/>
      </c>
      <c r="T134" s="36" t="str">
        <f t="shared" si="12"/>
        <v/>
      </c>
      <c r="U134" s="36" t="str">
        <f t="shared" si="13"/>
        <v/>
      </c>
      <c r="V134" t="str">
        <f>IFERROR(INDEX(Acuidade,ROW()),"")</f>
        <v/>
      </c>
      <c r="W134" t="str">
        <f t="shared" si="14"/>
        <v/>
      </c>
    </row>
    <row r="135" spans="18:23">
      <c r="R135" t="str">
        <f t="shared" si="10"/>
        <v/>
      </c>
      <c r="S135" t="str">
        <f t="shared" si="11"/>
        <v/>
      </c>
      <c r="T135" s="36" t="str">
        <f t="shared" si="12"/>
        <v/>
      </c>
      <c r="U135" s="36" t="str">
        <f t="shared" si="13"/>
        <v/>
      </c>
      <c r="V135" t="str">
        <f>IFERROR(INDEX(Acuidade,ROW()),"")</f>
        <v/>
      </c>
      <c r="W135" t="str">
        <f t="shared" si="14"/>
        <v/>
      </c>
    </row>
    <row r="136" spans="18:23">
      <c r="R136" t="str">
        <f t="shared" si="10"/>
        <v/>
      </c>
      <c r="S136" t="str">
        <f t="shared" si="11"/>
        <v/>
      </c>
      <c r="T136" s="36" t="str">
        <f t="shared" si="12"/>
        <v/>
      </c>
      <c r="U136" s="36" t="str">
        <f t="shared" si="13"/>
        <v/>
      </c>
      <c r="V136" t="str">
        <f>IFERROR(INDEX(Acuidade,ROW()),"")</f>
        <v/>
      </c>
      <c r="W136" t="str">
        <f t="shared" si="14"/>
        <v/>
      </c>
    </row>
    <row r="137" spans="18:23">
      <c r="R137" t="str">
        <f t="shared" si="10"/>
        <v/>
      </c>
      <c r="S137" t="str">
        <f t="shared" si="11"/>
        <v/>
      </c>
      <c r="T137" s="36" t="str">
        <f t="shared" si="12"/>
        <v/>
      </c>
      <c r="U137" s="36" t="str">
        <f t="shared" si="13"/>
        <v/>
      </c>
      <c r="V137" t="str">
        <f>IFERROR(INDEX(Acuidade,ROW()),"")</f>
        <v/>
      </c>
      <c r="W137" t="str">
        <f t="shared" si="14"/>
        <v/>
      </c>
    </row>
    <row r="138" spans="18:23">
      <c r="R138" t="str">
        <f t="shared" si="10"/>
        <v/>
      </c>
      <c r="S138" t="str">
        <f t="shared" si="11"/>
        <v/>
      </c>
      <c r="T138" s="36" t="str">
        <f t="shared" si="12"/>
        <v/>
      </c>
      <c r="U138" s="36" t="str">
        <f t="shared" si="13"/>
        <v/>
      </c>
      <c r="V138" t="str">
        <f>IFERROR(INDEX(Acuidade,ROW()),"")</f>
        <v/>
      </c>
      <c r="W138" t="str">
        <f t="shared" si="14"/>
        <v/>
      </c>
    </row>
    <row r="139" spans="18:23">
      <c r="R139" t="str">
        <f t="shared" si="10"/>
        <v/>
      </c>
      <c r="S139" t="str">
        <f t="shared" si="11"/>
        <v/>
      </c>
      <c r="T139" s="36" t="str">
        <f t="shared" si="12"/>
        <v/>
      </c>
      <c r="U139" s="36" t="str">
        <f t="shared" si="13"/>
        <v/>
      </c>
      <c r="V139" t="str">
        <f>IFERROR(INDEX(Acuidade,ROW()),"")</f>
        <v/>
      </c>
      <c r="W139" t="str">
        <f t="shared" si="14"/>
        <v/>
      </c>
    </row>
    <row r="140" spans="18:23">
      <c r="R140" t="str">
        <f t="shared" si="10"/>
        <v/>
      </c>
      <c r="S140" t="str">
        <f t="shared" si="11"/>
        <v/>
      </c>
      <c r="T140" s="36" t="str">
        <f t="shared" si="12"/>
        <v/>
      </c>
      <c r="U140" s="36" t="str">
        <f t="shared" si="13"/>
        <v/>
      </c>
      <c r="V140" t="str">
        <f>IFERROR(INDEX(Acuidade,ROW()),"")</f>
        <v/>
      </c>
      <c r="W140" t="str">
        <f t="shared" si="14"/>
        <v/>
      </c>
    </row>
    <row r="141" spans="18:23">
      <c r="R141" t="str">
        <f t="shared" si="10"/>
        <v/>
      </c>
      <c r="S141" t="str">
        <f t="shared" si="11"/>
        <v/>
      </c>
      <c r="T141" s="36" t="str">
        <f t="shared" si="12"/>
        <v/>
      </c>
      <c r="U141" s="36" t="str">
        <f t="shared" si="13"/>
        <v/>
      </c>
      <c r="V141" t="str">
        <f>IFERROR(INDEX(Acuidade,ROW()),"")</f>
        <v/>
      </c>
      <c r="W141" t="str">
        <f t="shared" si="14"/>
        <v/>
      </c>
    </row>
    <row r="142" spans="18:23">
      <c r="R142" t="str">
        <f t="shared" si="10"/>
        <v/>
      </c>
      <c r="S142" t="str">
        <f t="shared" si="11"/>
        <v/>
      </c>
      <c r="T142" s="36" t="str">
        <f t="shared" si="12"/>
        <v/>
      </c>
      <c r="U142" s="36" t="str">
        <f t="shared" si="13"/>
        <v/>
      </c>
      <c r="V142" t="str">
        <f>IFERROR(INDEX(Acuidade,ROW()),"")</f>
        <v/>
      </c>
      <c r="W142" t="str">
        <f t="shared" si="14"/>
        <v/>
      </c>
    </row>
    <row r="143" spans="18:23">
      <c r="R143" t="str">
        <f t="shared" si="10"/>
        <v/>
      </c>
      <c r="S143" t="str">
        <f t="shared" si="11"/>
        <v/>
      </c>
      <c r="T143" s="36" t="str">
        <f t="shared" si="12"/>
        <v/>
      </c>
      <c r="U143" s="36" t="str">
        <f t="shared" si="13"/>
        <v/>
      </c>
      <c r="V143" t="str">
        <f>IFERROR(INDEX(Acuidade,ROW()),"")</f>
        <v/>
      </c>
      <c r="W143" t="str">
        <f t="shared" si="14"/>
        <v/>
      </c>
    </row>
    <row r="144" spans="18:23">
      <c r="R144" t="str">
        <f t="shared" si="10"/>
        <v/>
      </c>
      <c r="S144" t="str">
        <f t="shared" si="11"/>
        <v/>
      </c>
      <c r="T144" s="36" t="str">
        <f t="shared" si="12"/>
        <v/>
      </c>
      <c r="U144" s="36" t="str">
        <f t="shared" si="13"/>
        <v/>
      </c>
      <c r="V144" t="str">
        <f>IFERROR(INDEX(Acuidade,ROW()),"")</f>
        <v/>
      </c>
      <c r="W144" t="str">
        <f t="shared" si="14"/>
        <v/>
      </c>
    </row>
    <row r="145" spans="18:23">
      <c r="R145" t="str">
        <f t="shared" si="10"/>
        <v/>
      </c>
      <c r="S145" t="str">
        <f t="shared" si="11"/>
        <v/>
      </c>
      <c r="T145" s="36" t="str">
        <f t="shared" si="12"/>
        <v/>
      </c>
      <c r="U145" s="36" t="str">
        <f t="shared" si="13"/>
        <v/>
      </c>
      <c r="V145" t="str">
        <f>IFERROR(INDEX(Acuidade,ROW()),"")</f>
        <v/>
      </c>
      <c r="W145" t="str">
        <f t="shared" si="14"/>
        <v/>
      </c>
    </row>
    <row r="146" spans="18:23">
      <c r="R146" t="str">
        <f t="shared" si="10"/>
        <v/>
      </c>
      <c r="S146" t="str">
        <f t="shared" si="11"/>
        <v/>
      </c>
      <c r="T146" s="36" t="str">
        <f t="shared" si="12"/>
        <v/>
      </c>
      <c r="U146" s="36" t="str">
        <f t="shared" si="13"/>
        <v/>
      </c>
      <c r="V146" t="str">
        <f>IFERROR(INDEX(Acuidade,ROW()),"")</f>
        <v/>
      </c>
      <c r="W146" t="str">
        <f t="shared" si="14"/>
        <v/>
      </c>
    </row>
    <row r="147" spans="18:23">
      <c r="R147" t="str">
        <f t="shared" si="10"/>
        <v/>
      </c>
      <c r="S147" t="str">
        <f t="shared" si="11"/>
        <v/>
      </c>
      <c r="T147" s="36" t="str">
        <f t="shared" si="12"/>
        <v/>
      </c>
      <c r="U147" s="36" t="str">
        <f t="shared" si="13"/>
        <v/>
      </c>
      <c r="V147" t="str">
        <f>IFERROR(INDEX(Acuidade,ROW()),"")</f>
        <v/>
      </c>
      <c r="W147" t="str">
        <f t="shared" si="14"/>
        <v/>
      </c>
    </row>
    <row r="148" spans="18:23">
      <c r="R148" t="str">
        <f t="shared" si="10"/>
        <v/>
      </c>
      <c r="S148" t="str">
        <f t="shared" si="11"/>
        <v/>
      </c>
      <c r="T148" s="36" t="str">
        <f t="shared" si="12"/>
        <v/>
      </c>
      <c r="U148" s="36" t="str">
        <f t="shared" si="13"/>
        <v/>
      </c>
      <c r="V148" t="str">
        <f>IFERROR(INDEX(Acuidade,ROW()),"")</f>
        <v/>
      </c>
      <c r="W148" t="str">
        <f t="shared" si="14"/>
        <v/>
      </c>
    </row>
    <row r="149" spans="18:23">
      <c r="R149" t="str">
        <f t="shared" si="10"/>
        <v/>
      </c>
      <c r="S149" t="str">
        <f t="shared" si="11"/>
        <v/>
      </c>
      <c r="T149" s="36" t="str">
        <f t="shared" si="12"/>
        <v/>
      </c>
      <c r="U149" s="36" t="str">
        <f t="shared" si="13"/>
        <v/>
      </c>
      <c r="V149" t="str">
        <f>IFERROR(INDEX(Acuidade,ROW()),"")</f>
        <v/>
      </c>
      <c r="W149" t="str">
        <f t="shared" si="14"/>
        <v/>
      </c>
    </row>
    <row r="150" spans="18:23">
      <c r="R150" t="str">
        <f t="shared" si="10"/>
        <v/>
      </c>
      <c r="S150" t="str">
        <f t="shared" si="11"/>
        <v/>
      </c>
      <c r="T150" s="36" t="str">
        <f t="shared" si="12"/>
        <v/>
      </c>
      <c r="U150" s="36" t="str">
        <f t="shared" si="13"/>
        <v/>
      </c>
      <c r="V150" t="str">
        <f>IFERROR(INDEX(Acuidade,ROW()),"")</f>
        <v/>
      </c>
      <c r="W150" t="str">
        <f t="shared" si="14"/>
        <v/>
      </c>
    </row>
    <row r="151" spans="18:23">
      <c r="R151" t="str">
        <f t="shared" si="10"/>
        <v/>
      </c>
      <c r="S151" t="str">
        <f t="shared" si="11"/>
        <v/>
      </c>
      <c r="T151" s="36" t="str">
        <f t="shared" si="12"/>
        <v/>
      </c>
      <c r="U151" s="36" t="str">
        <f t="shared" si="13"/>
        <v/>
      </c>
      <c r="V151" t="str">
        <f>IFERROR(INDEX(Acuidade,ROW()),"")</f>
        <v/>
      </c>
      <c r="W151" t="str">
        <f t="shared" si="14"/>
        <v/>
      </c>
    </row>
    <row r="152" spans="18:23">
      <c r="R152" t="str">
        <f t="shared" si="10"/>
        <v/>
      </c>
      <c r="S152" t="str">
        <f t="shared" si="11"/>
        <v/>
      </c>
      <c r="T152" s="36" t="str">
        <f t="shared" si="12"/>
        <v/>
      </c>
      <c r="U152" s="36" t="str">
        <f t="shared" si="13"/>
        <v/>
      </c>
      <c r="V152" t="str">
        <f>IFERROR(INDEX(Acuidade,ROW()),"")</f>
        <v/>
      </c>
      <c r="W152" t="str">
        <f t="shared" si="14"/>
        <v/>
      </c>
    </row>
    <row r="153" spans="18:23">
      <c r="R153" t="str">
        <f t="shared" si="10"/>
        <v/>
      </c>
      <c r="S153" t="str">
        <f t="shared" si="11"/>
        <v/>
      </c>
      <c r="T153" s="36" t="str">
        <f t="shared" si="12"/>
        <v/>
      </c>
      <c r="U153" s="36" t="str">
        <f t="shared" si="13"/>
        <v/>
      </c>
      <c r="V153" t="str">
        <f>IFERROR(INDEX(Acuidade,ROW()),"")</f>
        <v/>
      </c>
      <c r="W153" t="str">
        <f t="shared" si="14"/>
        <v/>
      </c>
    </row>
    <row r="154" spans="18:23">
      <c r="R154" t="str">
        <f t="shared" si="10"/>
        <v/>
      </c>
      <c r="S154" t="str">
        <f t="shared" si="11"/>
        <v/>
      </c>
      <c r="T154" s="36" t="str">
        <f t="shared" si="12"/>
        <v/>
      </c>
      <c r="U154" s="36" t="str">
        <f t="shared" si="13"/>
        <v/>
      </c>
      <c r="V154" t="str">
        <f>IFERROR(INDEX(Acuidade,ROW()),"")</f>
        <v/>
      </c>
      <c r="W154" t="str">
        <f t="shared" si="14"/>
        <v/>
      </c>
    </row>
    <row r="155" spans="18:23">
      <c r="R155" t="str">
        <f t="shared" si="10"/>
        <v/>
      </c>
      <c r="S155" t="str">
        <f t="shared" si="11"/>
        <v/>
      </c>
      <c r="T155" s="36" t="str">
        <f t="shared" si="12"/>
        <v/>
      </c>
      <c r="U155" s="36" t="str">
        <f t="shared" si="13"/>
        <v/>
      </c>
      <c r="V155" t="str">
        <f>IFERROR(INDEX(Acuidade,ROW()),"")</f>
        <v/>
      </c>
      <c r="W155" t="str">
        <f t="shared" si="14"/>
        <v/>
      </c>
    </row>
    <row r="156" spans="18:23">
      <c r="R156" t="str">
        <f t="shared" si="10"/>
        <v/>
      </c>
      <c r="S156" t="str">
        <f t="shared" si="11"/>
        <v/>
      </c>
      <c r="T156" s="36" t="str">
        <f t="shared" si="12"/>
        <v/>
      </c>
      <c r="U156" s="36" t="str">
        <f t="shared" si="13"/>
        <v/>
      </c>
      <c r="V156" t="str">
        <f>IFERROR(INDEX(Acuidade,ROW()),"")</f>
        <v/>
      </c>
      <c r="W156" t="str">
        <f t="shared" si="14"/>
        <v/>
      </c>
    </row>
    <row r="157" spans="18:23">
      <c r="R157" t="str">
        <f t="shared" si="10"/>
        <v/>
      </c>
      <c r="S157" t="str">
        <f t="shared" si="11"/>
        <v/>
      </c>
      <c r="T157" s="36" t="str">
        <f t="shared" si="12"/>
        <v/>
      </c>
      <c r="U157" s="36" t="str">
        <f t="shared" si="13"/>
        <v/>
      </c>
      <c r="V157" t="str">
        <f>IFERROR(INDEX(Acuidade,ROW()),"")</f>
        <v/>
      </c>
      <c r="W157" t="str">
        <f t="shared" si="14"/>
        <v/>
      </c>
    </row>
    <row r="158" spans="18:23">
      <c r="R158" t="str">
        <f t="shared" si="10"/>
        <v/>
      </c>
      <c r="S158" t="str">
        <f t="shared" si="11"/>
        <v/>
      </c>
      <c r="T158" s="36" t="str">
        <f t="shared" si="12"/>
        <v/>
      </c>
      <c r="U158" s="36" t="str">
        <f t="shared" si="13"/>
        <v/>
      </c>
      <c r="V158" t="str">
        <f>IFERROR(INDEX(Acuidade,ROW()),"")</f>
        <v/>
      </c>
      <c r="W158" t="str">
        <f t="shared" si="14"/>
        <v/>
      </c>
    </row>
    <row r="159" spans="18:23">
      <c r="R159" t="str">
        <f t="shared" si="10"/>
        <v/>
      </c>
      <c r="S159" t="str">
        <f t="shared" si="11"/>
        <v/>
      </c>
      <c r="T159" s="36" t="str">
        <f t="shared" si="12"/>
        <v/>
      </c>
      <c r="U159" s="36" t="str">
        <f t="shared" si="13"/>
        <v/>
      </c>
      <c r="V159" t="str">
        <f>IFERROR(INDEX(Acuidade,ROW()),"")</f>
        <v/>
      </c>
      <c r="W159" t="str">
        <f t="shared" si="14"/>
        <v/>
      </c>
    </row>
    <row r="160" spans="18:23">
      <c r="R160" t="str">
        <f t="shared" si="10"/>
        <v/>
      </c>
      <c r="S160" t="str">
        <f t="shared" si="11"/>
        <v/>
      </c>
      <c r="T160" s="36" t="str">
        <f t="shared" si="12"/>
        <v/>
      </c>
      <c r="U160" s="36" t="str">
        <f t="shared" si="13"/>
        <v/>
      </c>
      <c r="V160" t="str">
        <f>IFERROR(INDEX(Acuidade,ROW()),"")</f>
        <v/>
      </c>
      <c r="W160" t="str">
        <f t="shared" si="14"/>
        <v/>
      </c>
    </row>
    <row r="161" spans="18:23">
      <c r="R161" t="str">
        <f t="shared" si="10"/>
        <v/>
      </c>
      <c r="S161" t="str">
        <f t="shared" si="11"/>
        <v/>
      </c>
      <c r="T161" s="36" t="str">
        <f t="shared" si="12"/>
        <v/>
      </c>
      <c r="U161" s="36" t="str">
        <f t="shared" si="13"/>
        <v/>
      </c>
      <c r="V161" t="str">
        <f>IFERROR(INDEX(Acuidade,ROW()),"")</f>
        <v/>
      </c>
      <c r="W161" t="str">
        <f t="shared" si="14"/>
        <v/>
      </c>
    </row>
    <row r="162" spans="18:23">
      <c r="R162" t="str">
        <f t="shared" si="10"/>
        <v/>
      </c>
      <c r="S162" t="str">
        <f t="shared" si="11"/>
        <v/>
      </c>
      <c r="T162" s="36" t="str">
        <f t="shared" si="12"/>
        <v/>
      </c>
      <c r="U162" s="36" t="str">
        <f t="shared" si="13"/>
        <v/>
      </c>
      <c r="V162" t="str">
        <f>IFERROR(INDEX(Acuidade,ROW()),"")</f>
        <v/>
      </c>
      <c r="W162" t="str">
        <f t="shared" si="14"/>
        <v/>
      </c>
    </row>
    <row r="163" spans="18:23">
      <c r="R163" t="str">
        <f t="shared" si="10"/>
        <v/>
      </c>
      <c r="S163" t="str">
        <f t="shared" si="11"/>
        <v/>
      </c>
      <c r="T163" s="36" t="str">
        <f t="shared" si="12"/>
        <v/>
      </c>
      <c r="U163" s="36" t="str">
        <f t="shared" si="13"/>
        <v/>
      </c>
      <c r="V163" t="str">
        <f>IFERROR(INDEX(Acuidade,ROW()),"")</f>
        <v/>
      </c>
      <c r="W163" t="str">
        <f t="shared" si="14"/>
        <v/>
      </c>
    </row>
    <row r="164" spans="18:23">
      <c r="R164" t="str">
        <f t="shared" si="10"/>
        <v/>
      </c>
      <c r="S164" t="str">
        <f t="shared" si="11"/>
        <v/>
      </c>
      <c r="T164" s="36" t="str">
        <f t="shared" si="12"/>
        <v/>
      </c>
      <c r="U164" s="36" t="str">
        <f t="shared" si="13"/>
        <v/>
      </c>
      <c r="V164" t="str">
        <f>IFERROR(INDEX(Acuidade,ROW()),"")</f>
        <v/>
      </c>
      <c r="W164" t="str">
        <f t="shared" si="14"/>
        <v/>
      </c>
    </row>
    <row r="165" spans="18:23">
      <c r="R165" t="str">
        <f t="shared" si="10"/>
        <v/>
      </c>
      <c r="S165" t="str">
        <f t="shared" si="11"/>
        <v/>
      </c>
      <c r="T165" s="36" t="str">
        <f t="shared" si="12"/>
        <v/>
      </c>
      <c r="U165" s="36" t="str">
        <f t="shared" si="13"/>
        <v/>
      </c>
      <c r="V165" t="str">
        <f>IFERROR(INDEX(Acuidade,ROW()),"")</f>
        <v/>
      </c>
      <c r="W165" t="str">
        <f t="shared" si="14"/>
        <v/>
      </c>
    </row>
    <row r="166" spans="18:23">
      <c r="R166" t="str">
        <f t="shared" si="10"/>
        <v/>
      </c>
      <c r="S166" t="str">
        <f t="shared" si="11"/>
        <v/>
      </c>
      <c r="T166" s="36" t="str">
        <f t="shared" si="12"/>
        <v/>
      </c>
      <c r="U166" s="36" t="str">
        <f t="shared" si="13"/>
        <v/>
      </c>
      <c r="V166" t="str">
        <f>IFERROR(INDEX(Acuidade,ROW()),"")</f>
        <v/>
      </c>
      <c r="W166" t="str">
        <f t="shared" si="14"/>
        <v/>
      </c>
    </row>
    <row r="167" spans="18:23">
      <c r="R167" t="str">
        <f t="shared" si="10"/>
        <v/>
      </c>
      <c r="S167" t="str">
        <f t="shared" si="11"/>
        <v/>
      </c>
      <c r="T167" s="36" t="str">
        <f t="shared" si="12"/>
        <v/>
      </c>
      <c r="U167" s="36" t="str">
        <f t="shared" si="13"/>
        <v/>
      </c>
      <c r="V167" t="str">
        <f>IFERROR(INDEX(Acuidade,ROW()),"")</f>
        <v/>
      </c>
      <c r="W167" t="str">
        <f t="shared" si="14"/>
        <v/>
      </c>
    </row>
    <row r="168" spans="18:23">
      <c r="R168" t="str">
        <f t="shared" si="10"/>
        <v/>
      </c>
      <c r="S168" t="str">
        <f t="shared" si="11"/>
        <v/>
      </c>
      <c r="T168" s="36" t="str">
        <f t="shared" si="12"/>
        <v/>
      </c>
      <c r="U168" s="36" t="str">
        <f t="shared" si="13"/>
        <v/>
      </c>
      <c r="V168" t="str">
        <f>IFERROR(INDEX(Acuidade,ROW()),"")</f>
        <v/>
      </c>
      <c r="W168" t="str">
        <f t="shared" si="14"/>
        <v/>
      </c>
    </row>
    <row r="169" spans="18:23">
      <c r="R169" t="str">
        <f t="shared" si="10"/>
        <v/>
      </c>
      <c r="S169" t="str">
        <f t="shared" si="11"/>
        <v/>
      </c>
      <c r="T169" s="36" t="str">
        <f t="shared" si="12"/>
        <v/>
      </c>
      <c r="U169" s="36" t="str">
        <f t="shared" si="13"/>
        <v/>
      </c>
      <c r="V169" t="str">
        <f>IFERROR(INDEX(Acuidade,ROW()),"")</f>
        <v/>
      </c>
      <c r="W169" t="str">
        <f t="shared" si="14"/>
        <v/>
      </c>
    </row>
    <row r="170" spans="18:23">
      <c r="R170" t="str">
        <f t="shared" si="10"/>
        <v/>
      </c>
      <c r="S170" t="str">
        <f t="shared" si="11"/>
        <v/>
      </c>
      <c r="T170" s="36" t="str">
        <f t="shared" si="12"/>
        <v/>
      </c>
      <c r="U170" s="36" t="str">
        <f t="shared" si="13"/>
        <v/>
      </c>
      <c r="V170" t="str">
        <f>IFERROR(INDEX(Acuidade,ROW()),"")</f>
        <v/>
      </c>
      <c r="W170" t="str">
        <f t="shared" si="14"/>
        <v/>
      </c>
    </row>
    <row r="171" spans="18:23">
      <c r="R171" t="str">
        <f t="shared" si="10"/>
        <v/>
      </c>
      <c r="S171" t="str">
        <f t="shared" si="11"/>
        <v/>
      </c>
      <c r="T171" s="36" t="str">
        <f t="shared" si="12"/>
        <v/>
      </c>
      <c r="U171" s="36" t="str">
        <f t="shared" si="13"/>
        <v/>
      </c>
      <c r="V171" t="str">
        <f>IFERROR(INDEX(Acuidade,ROW()),"")</f>
        <v/>
      </c>
      <c r="W171" t="str">
        <f t="shared" si="14"/>
        <v/>
      </c>
    </row>
    <row r="172" spans="18:23">
      <c r="R172" t="str">
        <f t="shared" si="10"/>
        <v/>
      </c>
      <c r="S172" t="str">
        <f t="shared" si="11"/>
        <v/>
      </c>
      <c r="T172" s="36" t="str">
        <f t="shared" si="12"/>
        <v/>
      </c>
      <c r="U172" s="36" t="str">
        <f t="shared" si="13"/>
        <v/>
      </c>
      <c r="V172" t="str">
        <f>IFERROR(INDEX(Acuidade,ROW()),"")</f>
        <v/>
      </c>
      <c r="W172" t="str">
        <f t="shared" si="14"/>
        <v/>
      </c>
    </row>
    <row r="173" spans="18:23">
      <c r="R173" t="str">
        <f t="shared" si="10"/>
        <v/>
      </c>
      <c r="S173" t="str">
        <f t="shared" si="11"/>
        <v/>
      </c>
      <c r="T173" s="36" t="str">
        <f t="shared" si="12"/>
        <v/>
      </c>
      <c r="U173" s="36" t="str">
        <f t="shared" si="13"/>
        <v/>
      </c>
      <c r="V173" t="str">
        <f>IFERROR(INDEX(Acuidade,ROW()),"")</f>
        <v/>
      </c>
      <c r="W173" t="str">
        <f t="shared" si="14"/>
        <v/>
      </c>
    </row>
    <row r="174" spans="18:23">
      <c r="R174" t="str">
        <f t="shared" si="10"/>
        <v/>
      </c>
      <c r="S174" t="str">
        <f t="shared" si="11"/>
        <v/>
      </c>
      <c r="T174" s="36" t="str">
        <f t="shared" si="12"/>
        <v/>
      </c>
      <c r="U174" s="36" t="str">
        <f t="shared" si="13"/>
        <v/>
      </c>
      <c r="V174" t="str">
        <f>IFERROR(INDEX(Acuidade,ROW()),"")</f>
        <v/>
      </c>
      <c r="W174" t="str">
        <f t="shared" si="14"/>
        <v/>
      </c>
    </row>
    <row r="175" spans="18:23">
      <c r="R175" t="str">
        <f t="shared" si="10"/>
        <v/>
      </c>
      <c r="S175" t="str">
        <f t="shared" si="11"/>
        <v/>
      </c>
      <c r="T175" s="36" t="str">
        <f t="shared" si="12"/>
        <v/>
      </c>
      <c r="U175" s="36" t="str">
        <f t="shared" si="13"/>
        <v/>
      </c>
      <c r="V175" t="str">
        <f>IFERROR(INDEX(Acuidade,ROW()),"")</f>
        <v/>
      </c>
      <c r="W175" t="str">
        <f t="shared" si="14"/>
        <v/>
      </c>
    </row>
    <row r="176" spans="18:23">
      <c r="R176" t="str">
        <f t="shared" si="10"/>
        <v/>
      </c>
      <c r="S176" t="str">
        <f t="shared" si="11"/>
        <v/>
      </c>
      <c r="T176" s="36" t="str">
        <f t="shared" si="12"/>
        <v/>
      </c>
      <c r="U176" s="36" t="str">
        <f t="shared" si="13"/>
        <v/>
      </c>
      <c r="V176" t="str">
        <f>IFERROR(INDEX(Acuidade,ROW()),"")</f>
        <v/>
      </c>
      <c r="W176" t="str">
        <f t="shared" si="14"/>
        <v/>
      </c>
    </row>
    <row r="177" spans="18:23">
      <c r="R177" t="str">
        <f t="shared" si="10"/>
        <v/>
      </c>
      <c r="S177" t="str">
        <f t="shared" si="11"/>
        <v/>
      </c>
      <c r="T177" s="36" t="str">
        <f t="shared" si="12"/>
        <v/>
      </c>
      <c r="U177" s="36" t="str">
        <f t="shared" si="13"/>
        <v/>
      </c>
      <c r="V177" t="str">
        <f>IFERROR(INDEX(Acuidade,ROW()),"")</f>
        <v/>
      </c>
      <c r="W177" t="str">
        <f t="shared" si="14"/>
        <v/>
      </c>
    </row>
    <row r="178" spans="18:23">
      <c r="R178" t="str">
        <f t="shared" si="10"/>
        <v/>
      </c>
      <c r="S178" t="str">
        <f t="shared" si="11"/>
        <v/>
      </c>
      <c r="T178" s="36" t="str">
        <f t="shared" si="12"/>
        <v/>
      </c>
      <c r="U178" s="36" t="str">
        <f t="shared" si="13"/>
        <v/>
      </c>
      <c r="V178" t="str">
        <f>IFERROR(INDEX(Acuidade,ROW()),"")</f>
        <v/>
      </c>
      <c r="W178" t="str">
        <f t="shared" si="14"/>
        <v/>
      </c>
    </row>
    <row r="179" spans="18:23">
      <c r="R179" t="str">
        <f t="shared" si="10"/>
        <v/>
      </c>
      <c r="S179" t="str">
        <f t="shared" si="11"/>
        <v/>
      </c>
      <c r="T179" s="36" t="str">
        <f t="shared" si="12"/>
        <v/>
      </c>
      <c r="U179" s="36" t="str">
        <f t="shared" si="13"/>
        <v/>
      </c>
      <c r="V179" t="str">
        <f>IFERROR(INDEX(Acuidade,ROW()),"")</f>
        <v/>
      </c>
      <c r="W179" t="str">
        <f t="shared" si="14"/>
        <v/>
      </c>
    </row>
    <row r="180" spans="18:23">
      <c r="R180" t="str">
        <f t="shared" si="10"/>
        <v/>
      </c>
      <c r="S180" t="str">
        <f t="shared" si="11"/>
        <v/>
      </c>
      <c r="T180" s="36" t="str">
        <f t="shared" si="12"/>
        <v/>
      </c>
      <c r="U180" s="36" t="str">
        <f t="shared" si="13"/>
        <v/>
      </c>
      <c r="V180" t="str">
        <f>IFERROR(INDEX(Acuidade,ROW()),"")</f>
        <v/>
      </c>
      <c r="W180" t="str">
        <f t="shared" si="14"/>
        <v/>
      </c>
    </row>
    <row r="181" spans="18:23">
      <c r="R181" t="str">
        <f t="shared" si="10"/>
        <v/>
      </c>
      <c r="S181" t="str">
        <f t="shared" si="11"/>
        <v/>
      </c>
      <c r="T181" s="36" t="str">
        <f t="shared" si="12"/>
        <v/>
      </c>
      <c r="U181" s="36" t="str">
        <f t="shared" si="13"/>
        <v/>
      </c>
      <c r="V181" t="str">
        <f>IFERROR(INDEX(Acuidade,ROW()),"")</f>
        <v/>
      </c>
      <c r="W181" t="str">
        <f t="shared" si="14"/>
        <v/>
      </c>
    </row>
    <row r="182" spans="18:23">
      <c r="R182" t="str">
        <f t="shared" si="10"/>
        <v/>
      </c>
      <c r="S182" t="str">
        <f t="shared" si="11"/>
        <v/>
      </c>
      <c r="T182" s="36" t="str">
        <f t="shared" si="12"/>
        <v/>
      </c>
      <c r="U182" s="36" t="str">
        <f t="shared" si="13"/>
        <v/>
      </c>
    </row>
    <row r="183" spans="18:23">
      <c r="R183" t="str">
        <f t="shared" si="10"/>
        <v/>
      </c>
      <c r="S183" t="str">
        <f t="shared" si="11"/>
        <v/>
      </c>
      <c r="T183" s="36" t="str">
        <f t="shared" si="12"/>
        <v/>
      </c>
      <c r="U183" s="36" t="str">
        <f t="shared" si="13"/>
        <v/>
      </c>
    </row>
    <row r="184" spans="18:23">
      <c r="R184" t="str">
        <f t="shared" si="10"/>
        <v/>
      </c>
      <c r="S184" t="str">
        <f t="shared" si="11"/>
        <v/>
      </c>
      <c r="T184" s="36" t="str">
        <f t="shared" si="12"/>
        <v/>
      </c>
      <c r="U184" s="36" t="str">
        <f t="shared" si="13"/>
        <v/>
      </c>
    </row>
    <row r="185" spans="18:23">
      <c r="R185" t="str">
        <f t="shared" si="10"/>
        <v/>
      </c>
      <c r="S185" t="str">
        <f t="shared" si="11"/>
        <v/>
      </c>
      <c r="T185" s="36" t="str">
        <f t="shared" si="12"/>
        <v/>
      </c>
      <c r="U185" s="36" t="str">
        <f t="shared" si="13"/>
        <v/>
      </c>
    </row>
    <row r="186" spans="18:23">
      <c r="R186" t="str">
        <f t="shared" si="10"/>
        <v/>
      </c>
      <c r="S186" t="str">
        <f t="shared" si="11"/>
        <v/>
      </c>
      <c r="T186" s="36" t="str">
        <f t="shared" si="12"/>
        <v/>
      </c>
      <c r="U186" s="36" t="str">
        <f t="shared" si="13"/>
        <v/>
      </c>
    </row>
    <row r="187" spans="18:23">
      <c r="R187" t="str">
        <f t="shared" si="10"/>
        <v/>
      </c>
      <c r="S187" t="str">
        <f t="shared" si="11"/>
        <v/>
      </c>
      <c r="T187" s="36" t="str">
        <f t="shared" si="12"/>
        <v/>
      </c>
      <c r="U187" s="36" t="str">
        <f t="shared" si="13"/>
        <v/>
      </c>
    </row>
    <row r="188" spans="18:23">
      <c r="R188" t="str">
        <f t="shared" si="10"/>
        <v/>
      </c>
      <c r="S188" t="str">
        <f t="shared" si="11"/>
        <v/>
      </c>
      <c r="T188" s="36" t="str">
        <f t="shared" si="12"/>
        <v/>
      </c>
      <c r="U188" s="36" t="str">
        <f t="shared" si="13"/>
        <v/>
      </c>
    </row>
    <row r="189" spans="18:23">
      <c r="R189" t="str">
        <f t="shared" si="10"/>
        <v/>
      </c>
      <c r="S189" t="str">
        <f t="shared" si="11"/>
        <v/>
      </c>
      <c r="T189" s="36" t="str">
        <f t="shared" si="12"/>
        <v/>
      </c>
      <c r="U189" s="36" t="str">
        <f t="shared" si="13"/>
        <v/>
      </c>
    </row>
    <row r="190" spans="18:23">
      <c r="R190" t="str">
        <f t="shared" si="10"/>
        <v/>
      </c>
      <c r="S190" t="str">
        <f t="shared" si="11"/>
        <v/>
      </c>
      <c r="T190" s="36" t="str">
        <f t="shared" si="12"/>
        <v/>
      </c>
      <c r="U190" s="36" t="str">
        <f t="shared" si="13"/>
        <v/>
      </c>
    </row>
    <row r="191" spans="18:23">
      <c r="R191" t="str">
        <f t="shared" si="10"/>
        <v/>
      </c>
      <c r="S191" t="str">
        <f t="shared" si="11"/>
        <v/>
      </c>
      <c r="T191" s="36" t="str">
        <f t="shared" si="12"/>
        <v/>
      </c>
      <c r="U191" s="36" t="str">
        <f t="shared" si="13"/>
        <v/>
      </c>
    </row>
    <row r="192" spans="18:23">
      <c r="R192" t="str">
        <f t="shared" si="10"/>
        <v/>
      </c>
      <c r="S192" t="str">
        <f t="shared" si="11"/>
        <v/>
      </c>
      <c r="T192" s="36" t="str">
        <f t="shared" si="12"/>
        <v/>
      </c>
      <c r="U192" s="36" t="str">
        <f t="shared" si="13"/>
        <v/>
      </c>
    </row>
    <row r="193" spans="18:21">
      <c r="R193" t="str">
        <f t="shared" si="10"/>
        <v/>
      </c>
      <c r="S193" t="str">
        <f t="shared" si="11"/>
        <v/>
      </c>
      <c r="T193" s="36" t="str">
        <f t="shared" si="12"/>
        <v/>
      </c>
      <c r="U193" s="36" t="str">
        <f t="shared" si="13"/>
        <v/>
      </c>
    </row>
    <row r="194" spans="18:21">
      <c r="R194" t="str">
        <f t="shared" ref="R194:R200" si="15">IFERROR(MID(V194,1,FIND("_",V194,1)-1),"")</f>
        <v/>
      </c>
      <c r="S194" t="str">
        <f t="shared" ref="S194:S200" si="16">IFERROR(MID(V194,FIND("_",V194,1)+1,5),"")</f>
        <v/>
      </c>
      <c r="T194" s="36" t="str">
        <f t="shared" ref="T194:T200" si="17">IFERROR(VALUE(MID(V194,FIND("_",V194,1)+7,4)),"")</f>
        <v/>
      </c>
      <c r="U194" s="36" t="str">
        <f t="shared" ref="U194:U200" si="18">IFERROR(T194+1,"")</f>
        <v/>
      </c>
    </row>
    <row r="195" spans="18:21">
      <c r="R195" t="str">
        <f t="shared" si="15"/>
        <v/>
      </c>
      <c r="S195" t="str">
        <f t="shared" si="16"/>
        <v/>
      </c>
      <c r="T195" s="36" t="str">
        <f t="shared" si="17"/>
        <v/>
      </c>
      <c r="U195" s="36" t="str">
        <f t="shared" si="18"/>
        <v/>
      </c>
    </row>
    <row r="196" spans="18:21">
      <c r="R196" t="str">
        <f t="shared" si="15"/>
        <v/>
      </c>
      <c r="S196" t="str">
        <f t="shared" si="16"/>
        <v/>
      </c>
      <c r="T196" s="36" t="str">
        <f t="shared" si="17"/>
        <v/>
      </c>
      <c r="U196" s="36" t="str">
        <f t="shared" si="18"/>
        <v/>
      </c>
    </row>
    <row r="197" spans="18:21">
      <c r="R197" t="str">
        <f t="shared" si="15"/>
        <v/>
      </c>
      <c r="S197" t="str">
        <f t="shared" si="16"/>
        <v/>
      </c>
      <c r="T197" s="36" t="str">
        <f t="shared" si="17"/>
        <v/>
      </c>
      <c r="U197" s="36" t="str">
        <f t="shared" si="18"/>
        <v/>
      </c>
    </row>
    <row r="198" spans="18:21">
      <c r="R198" t="str">
        <f t="shared" si="15"/>
        <v/>
      </c>
      <c r="S198" t="str">
        <f t="shared" si="16"/>
        <v/>
      </c>
      <c r="T198" s="36" t="str">
        <f t="shared" si="17"/>
        <v/>
      </c>
      <c r="U198" s="36" t="str">
        <f t="shared" si="18"/>
        <v/>
      </c>
    </row>
    <row r="199" spans="18:21">
      <c r="R199" t="str">
        <f t="shared" si="15"/>
        <v/>
      </c>
      <c r="S199" t="str">
        <f t="shared" si="16"/>
        <v/>
      </c>
      <c r="T199" s="36" t="str">
        <f t="shared" si="17"/>
        <v/>
      </c>
      <c r="U199" s="36" t="str">
        <f t="shared" si="18"/>
        <v/>
      </c>
    </row>
    <row r="200" spans="18:21">
      <c r="R200" t="str">
        <f t="shared" si="15"/>
        <v/>
      </c>
      <c r="S200" t="str">
        <f t="shared" si="16"/>
        <v/>
      </c>
      <c r="T200" s="36" t="str">
        <f t="shared" si="17"/>
        <v/>
      </c>
      <c r="U200" s="36" t="str">
        <f t="shared" si="1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AC100"/>
  <sheetViews>
    <sheetView workbookViewId="0">
      <selection activeCell="D30" sqref="D30"/>
    </sheetView>
  </sheetViews>
  <sheetFormatPr defaultRowHeight="15"/>
  <cols>
    <col min="4" max="4" width="67.140625" customWidth="1"/>
    <col min="12" max="12" width="73.5703125" bestFit="1" customWidth="1"/>
    <col min="13" max="13" width="21.5703125" customWidth="1"/>
    <col min="14" max="14" width="25.85546875" customWidth="1"/>
    <col min="24" max="24" width="9.140625" customWidth="1"/>
  </cols>
  <sheetData>
    <row r="1" spans="1:29">
      <c r="A1" t="s">
        <v>17</v>
      </c>
      <c r="C1" t="s">
        <v>22</v>
      </c>
      <c r="F1">
        <f>IFERROR(FIND("_",$L1,1),"")</f>
        <v>5</v>
      </c>
      <c r="G1">
        <f>IFERROR(FIND("_",$L1,F1+1),"")</f>
        <v>8</v>
      </c>
      <c r="H1">
        <f t="shared" ref="H1:J1" si="0">IFERROR(FIND("_",$L1,G1+1),"")</f>
        <v>11</v>
      </c>
      <c r="I1">
        <f t="shared" si="0"/>
        <v>22</v>
      </c>
      <c r="J1">
        <f t="shared" si="0"/>
        <v>33</v>
      </c>
      <c r="L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ASNT_MT_II_03-005-NDT_17-01-2027_Fernando Pinheiro da Costa.pdf</v>
      </c>
      <c r="P1" t="s">
        <v>9</v>
      </c>
      <c r="Q1">
        <f>IF(IFERROR(INDEX(MT,ROW()),"")&lt;&gt;"",1,"")</f>
        <v>1</v>
      </c>
      <c r="S1" t="s">
        <v>10</v>
      </c>
      <c r="T1">
        <f>IF(IFERROR(INDEX(PT,ROW()),"")&lt;&gt;"",1,"")</f>
        <v>1</v>
      </c>
      <c r="V1" t="s">
        <v>18</v>
      </c>
      <c r="W1">
        <f>IF(IFERROR(INDEX(RX,ROW()),"")&lt;&gt;"",1,"")</f>
        <v>1</v>
      </c>
      <c r="Y1" t="s">
        <v>12</v>
      </c>
      <c r="Z1">
        <f>IF(IFERROR(INDEX(UT,ROW()),"")&lt;&gt;"",1,"")</f>
        <v>1</v>
      </c>
      <c r="AB1" t="s">
        <v>13</v>
      </c>
      <c r="AC1">
        <f>IF(IFERROR(INDEX(VT,ROW()),"")&lt;&gt;"",1,"")</f>
        <v>1</v>
      </c>
    </row>
    <row r="2" spans="1:29">
      <c r="F2">
        <f t="shared" ref="F2:F65" si="1">IFERROR(FIND("_",$L2,1),"")</f>
        <v>5</v>
      </c>
      <c r="G2">
        <f t="shared" ref="G2:J2" si="2">IFERROR(FIND("_",$L2,F2+1),"")</f>
        <v>8</v>
      </c>
      <c r="H2">
        <f t="shared" si="2"/>
        <v>11</v>
      </c>
      <c r="I2">
        <f t="shared" si="2"/>
        <v>22</v>
      </c>
      <c r="J2">
        <f t="shared" si="2"/>
        <v>33</v>
      </c>
      <c r="L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ASNT_MT_II_03-006-NDT_17-01-2027_Ricardo Filipe Pina Freire.pdf</v>
      </c>
      <c r="P2">
        <f>COUNT(Q:Q)</f>
        <v>12</v>
      </c>
      <c r="Q2">
        <f>IF(IFERROR(INDEX(MT,ROW()),"")&lt;&gt;"",1,"")</f>
        <v>1</v>
      </c>
      <c r="S2">
        <f>COUNT(T:T)</f>
        <v>17</v>
      </c>
      <c r="T2">
        <f>IF(IFERROR(INDEX(PT,ROW()),"")&lt;&gt;"",1,"")</f>
        <v>1</v>
      </c>
      <c r="V2">
        <f>COUNT(W:W)</f>
        <v>3</v>
      </c>
      <c r="W2">
        <f>IF(IFERROR(INDEX(RX,ROW()),"")&lt;&gt;"",1,"")</f>
        <v>1</v>
      </c>
      <c r="Y2">
        <f>COUNT(Z:Z)</f>
        <v>2</v>
      </c>
      <c r="Z2">
        <f>IF(IFERROR(INDEX(UT,ROW()),"")&lt;&gt;"",1,"")</f>
        <v>1</v>
      </c>
      <c r="AB2">
        <f>COUNT(AC:AC)</f>
        <v>6</v>
      </c>
      <c r="AC2">
        <f>IF(IFERROR(INDEX(VT,ROW()),"")&lt;&gt;"",1,"")</f>
        <v>1</v>
      </c>
    </row>
    <row r="3" spans="1:29">
      <c r="A3" t="s">
        <v>9</v>
      </c>
      <c r="F3">
        <f t="shared" si="1"/>
        <v>5</v>
      </c>
      <c r="G3">
        <f t="shared" ref="G3:J3" si="3">IFERROR(FIND("_",$L3,F3+1),"")</f>
        <v>8</v>
      </c>
      <c r="H3">
        <f t="shared" si="3"/>
        <v>11</v>
      </c>
      <c r="I3">
        <f t="shared" si="3"/>
        <v>22</v>
      </c>
      <c r="J3">
        <f t="shared" si="3"/>
        <v>33</v>
      </c>
      <c r="L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ASNT_MT_II_23-023-NDT_07-09-2028_José Eduardo Martins Pinho.pdf</v>
      </c>
      <c r="Q3">
        <f>IF(IFERROR(INDEX(MT,ROW()),"")&lt;&gt;"",1,"")</f>
        <v>1</v>
      </c>
      <c r="T3">
        <f>IF(IFERROR(INDEX(PT,ROW()),"")&lt;&gt;"",1,"")</f>
        <v>1</v>
      </c>
      <c r="W3">
        <f>IF(IFERROR(INDEX(RX,ROW()),"")&lt;&gt;"",1,"")</f>
        <v>1</v>
      </c>
      <c r="Z3" t="str">
        <f>IF(IFERROR(INDEX(UT,ROW()),"")&lt;&gt;"",1,"")</f>
        <v/>
      </c>
      <c r="AC3">
        <f>IF(IFERROR(INDEX(VT,ROW()),"")&lt;&gt;"",1,"")</f>
        <v>1</v>
      </c>
    </row>
    <row r="4" spans="1:29">
      <c r="A4" t="str">
        <f>CONCATENATE(C1,"\",A3,"\*")</f>
        <v>Q:\11 - QUALIFICAÇÕES END\1 - QUALIFICAÇÕES END\1 - ASP\MT\*</v>
      </c>
      <c r="F4">
        <f t="shared" si="1"/>
        <v>5</v>
      </c>
      <c r="G4">
        <f t="shared" ref="G4:J4" si="4">IFERROR(FIND("_",$L4,F4+1),"")</f>
        <v>8</v>
      </c>
      <c r="H4">
        <f t="shared" si="4"/>
        <v>11</v>
      </c>
      <c r="I4">
        <f t="shared" si="4"/>
        <v>22</v>
      </c>
      <c r="J4">
        <f t="shared" si="4"/>
        <v>33</v>
      </c>
      <c r="L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ASNT_MT_II_23-024-NDT_07-09-2028_Francisco Manuel Conceição Oliveira.pdf</v>
      </c>
      <c r="Q4">
        <f>IF(IFERROR(INDEX(MT,ROW()),"")&lt;&gt;"",1,"")</f>
        <v>1</v>
      </c>
      <c r="T4">
        <f>IF(IFERROR(INDEX(PT,ROW()),"")&lt;&gt;"",1,"")</f>
        <v>1</v>
      </c>
      <c r="W4" t="str">
        <f>IF(IFERROR(INDEX(RX,ROW()),"")&lt;&gt;"",1,"")</f>
        <v/>
      </c>
      <c r="Z4" t="str">
        <f>IF(IFERROR(INDEX(UT,ROW()),"")&lt;&gt;"",1,"")</f>
        <v/>
      </c>
      <c r="AC4">
        <f>IF(IFERROR(INDEX(VT,ROW()),"")&lt;&gt;"",1,"")</f>
        <v>1</v>
      </c>
    </row>
    <row r="5" spans="1:29">
      <c r="F5">
        <f t="shared" si="1"/>
        <v>5</v>
      </c>
      <c r="G5">
        <f t="shared" ref="G5:J5" si="5">IFERROR(FIND("_",$L5,F5+1),"")</f>
        <v>8</v>
      </c>
      <c r="H5">
        <f t="shared" si="5"/>
        <v>11</v>
      </c>
      <c r="I5">
        <f t="shared" si="5"/>
        <v>22</v>
      </c>
      <c r="J5">
        <f t="shared" si="5"/>
        <v>33</v>
      </c>
      <c r="L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ASNT_MT_II_23-025-NDT_07-09-2028_Fernando Miguel Pinho Fernandes.pdf</v>
      </c>
      <c r="Q5">
        <f>IF(IFERROR(INDEX(MT,ROW()),"")&lt;&gt;"",1,"")</f>
        <v>1</v>
      </c>
      <c r="T5">
        <f>IF(IFERROR(INDEX(PT,ROW()),"")&lt;&gt;"",1,"")</f>
        <v>1</v>
      </c>
      <c r="W5" t="str">
        <f>IF(IFERROR(INDEX(RX,ROW()),"")&lt;&gt;"",1,"")</f>
        <v/>
      </c>
      <c r="Z5" t="str">
        <f>IF(IFERROR(INDEX(UT,ROW()),"")&lt;&gt;"",1,"")</f>
        <v/>
      </c>
      <c r="AC5">
        <f>IF(IFERROR(INDEX(VT,ROW()),"")&lt;&gt;"",1,"")</f>
        <v>1</v>
      </c>
    </row>
    <row r="6" spans="1:29">
      <c r="A6" t="s">
        <v>10</v>
      </c>
      <c r="F6">
        <f t="shared" si="1"/>
        <v>12</v>
      </c>
      <c r="G6">
        <f t="shared" ref="G6:J6" si="6">IFERROR(FIND("_",$L6,F6+1),"")</f>
        <v>15</v>
      </c>
      <c r="H6">
        <f t="shared" si="6"/>
        <v>18</v>
      </c>
      <c r="I6">
        <f t="shared" si="6"/>
        <v>32</v>
      </c>
      <c r="J6">
        <f t="shared" si="6"/>
        <v>43</v>
      </c>
      <c r="L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9712_MT_II_23TO00452PN10_16-07-2028_Fernando Miguel Pinho Fernandes.pdf</v>
      </c>
      <c r="Q6">
        <f>IF(IFERROR(INDEX(MT,ROW()),"")&lt;&gt;"",1,"")</f>
        <v>1</v>
      </c>
      <c r="T6">
        <f>IF(IFERROR(INDEX(PT,ROW()),"")&lt;&gt;"",1,"")</f>
        <v>1</v>
      </c>
      <c r="W6" t="str">
        <f>IF(IFERROR(INDEX(RX,ROW()),"")&lt;&gt;"",1,"")</f>
        <v/>
      </c>
      <c r="Z6" t="str">
        <f>IF(IFERROR(INDEX(UT,ROW()),"")&lt;&gt;"",1,"")</f>
        <v/>
      </c>
      <c r="AC6">
        <f>IF(IFERROR(INDEX(VT,ROW()),"")&lt;&gt;"",1,"")</f>
        <v>1</v>
      </c>
    </row>
    <row r="7" spans="1:29">
      <c r="A7" t="str">
        <f>CONCATENATE(C1,"\",A6,"\*")</f>
        <v>Q:\11 - QUALIFICAÇÕES END\1 - QUALIFICAÇÕES END\1 - ASP\PT\*</v>
      </c>
      <c r="F7">
        <f t="shared" si="1"/>
        <v>12</v>
      </c>
      <c r="G7">
        <f t="shared" ref="G7:J7" si="7">IFERROR(FIND("_",$L7,F7+1),"")</f>
        <v>15</v>
      </c>
      <c r="H7">
        <f t="shared" si="7"/>
        <v>18</v>
      </c>
      <c r="I7">
        <f t="shared" si="7"/>
        <v>31</v>
      </c>
      <c r="J7">
        <f t="shared" si="7"/>
        <v>42</v>
      </c>
      <c r="L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9712_MT_II_23TO00452PN7_16-07-2028_Francisco Manuel Conceição Oliveira.pdf</v>
      </c>
      <c r="Q7">
        <f>IF(IFERROR(INDEX(MT,ROW()),"")&lt;&gt;"",1,"")</f>
        <v>1</v>
      </c>
      <c r="T7">
        <f>IF(IFERROR(INDEX(PT,ROW()),"")&lt;&gt;"",1,"")</f>
        <v>1</v>
      </c>
      <c r="W7" t="str">
        <f>IF(IFERROR(INDEX(RX,ROW()),"")&lt;&gt;"",1,"")</f>
        <v/>
      </c>
      <c r="Z7" t="str">
        <f>IF(IFERROR(INDEX(UT,ROW()),"")&lt;&gt;"",1,"")</f>
        <v/>
      </c>
      <c r="AC7" t="str">
        <f>IF(IFERROR(INDEX(VT,ROW()),"")&lt;&gt;"",1,"")</f>
        <v/>
      </c>
    </row>
    <row r="8" spans="1:29">
      <c r="F8">
        <f t="shared" si="1"/>
        <v>12</v>
      </c>
      <c r="G8">
        <f t="shared" ref="G8:J8" si="8">IFERROR(FIND("_",$L8,F8+1),"")</f>
        <v>15</v>
      </c>
      <c r="H8">
        <f t="shared" si="8"/>
        <v>18</v>
      </c>
      <c r="I8">
        <f t="shared" si="8"/>
        <v>31</v>
      </c>
      <c r="J8">
        <f t="shared" si="8"/>
        <v>42</v>
      </c>
      <c r="L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9712_MT_II_23TO00452PN9_16-07-2028_José Eduardo Martins Pinho.pdf</v>
      </c>
      <c r="Q8">
        <f>IF(IFERROR(INDEX(MT,ROW()),"")&lt;&gt;"",1,"")</f>
        <v>1</v>
      </c>
      <c r="T8">
        <f>IF(IFERROR(INDEX(PT,ROW()),"")&lt;&gt;"",1,"")</f>
        <v>1</v>
      </c>
      <c r="W8" t="str">
        <f>IF(IFERROR(INDEX(RX,ROW()),"")&lt;&gt;"",1,"")</f>
        <v/>
      </c>
      <c r="Z8" t="str">
        <f>IF(IFERROR(INDEX(UT,ROW()),"")&lt;&gt;"",1,"")</f>
        <v/>
      </c>
      <c r="AC8" t="str">
        <f>IF(IFERROR(INDEX(VT,ROW()),"")&lt;&gt;"",1,"")</f>
        <v/>
      </c>
    </row>
    <row r="9" spans="1:29">
      <c r="A9" t="s">
        <v>11</v>
      </c>
      <c r="F9">
        <f t="shared" si="1"/>
        <v>12</v>
      </c>
      <c r="G9">
        <f t="shared" ref="G9:J9" si="9">IFERROR(FIND("_",$L9,F9+1),"")</f>
        <v>15</v>
      </c>
      <c r="H9">
        <f t="shared" si="9"/>
        <v>18</v>
      </c>
      <c r="I9">
        <f t="shared" si="9"/>
        <v>26</v>
      </c>
      <c r="J9">
        <f t="shared" si="9"/>
        <v>37</v>
      </c>
      <c r="L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9712_MT_II_END-461_16-07-2025_Fernando Pinheiro da Costa.pdf</v>
      </c>
      <c r="O9" t="str">
        <f>IFERROR(INDEX(RX,ROW()-5),"")</f>
        <v/>
      </c>
      <c r="Q9">
        <f>IF(IFERROR(INDEX(MT,ROW()),"")&lt;&gt;"",1,"")</f>
        <v>1</v>
      </c>
      <c r="T9">
        <f>IF(IFERROR(INDEX(PT,ROW()),"")&lt;&gt;"",1,"")</f>
        <v>1</v>
      </c>
      <c r="W9" t="str">
        <f>IF(IFERROR(INDEX(RX,ROW()),"")&lt;&gt;"",1,"")</f>
        <v/>
      </c>
      <c r="Z9" t="str">
        <f>IF(IFERROR(INDEX(UT,ROW()),"")&lt;&gt;"",1,"")</f>
        <v/>
      </c>
      <c r="AC9" t="str">
        <f>IF(IFERROR(INDEX(VT,ROW()),"")&lt;&gt;"",1,"")</f>
        <v/>
      </c>
    </row>
    <row r="10" spans="1:29">
      <c r="A10" t="str">
        <f>CONCATENATE(C1,"\",A9,"\*")</f>
        <v>Q:\11 - QUALIFICAÇÕES END\1 - QUALIFICAÇÕES END\1 - ASP\RT\*</v>
      </c>
      <c r="F10">
        <f t="shared" si="1"/>
        <v>12</v>
      </c>
      <c r="G10">
        <f t="shared" ref="G10:J10" si="10">IFERROR(FIND("_",$L10,F10+1),"")</f>
        <v>15</v>
      </c>
      <c r="H10">
        <f t="shared" si="10"/>
        <v>18</v>
      </c>
      <c r="I10">
        <f t="shared" si="10"/>
        <v>26</v>
      </c>
      <c r="J10">
        <f t="shared" si="10"/>
        <v>37</v>
      </c>
      <c r="L1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9712_MT_II_END-800_06-03-2028_Francisco José Pereira Fernandes.pdf</v>
      </c>
      <c r="O10" t="str">
        <f>IFERROR(INDEX(RX,ROW()-5),"")</f>
        <v/>
      </c>
      <c r="Q10">
        <f>IF(IFERROR(INDEX(MT,ROW()),"")&lt;&gt;"",1,"")</f>
        <v>1</v>
      </c>
      <c r="T10">
        <f>IF(IFERROR(INDEX(PT,ROW()),"")&lt;&gt;"",1,"")</f>
        <v>1</v>
      </c>
      <c r="W10" t="str">
        <f>IF(IFERROR(INDEX(RX,ROW()),"")&lt;&gt;"",1,"")</f>
        <v/>
      </c>
      <c r="Z10" t="str">
        <f>IF(IFERROR(INDEX(UT,ROW()),"")&lt;&gt;"",1,"")</f>
        <v/>
      </c>
      <c r="AC10" t="str">
        <f>IF(IFERROR(INDEX(VT,ROW()),"")&lt;&gt;"",1,"")</f>
        <v/>
      </c>
    </row>
    <row r="11" spans="1:29">
      <c r="F11">
        <f t="shared" si="1"/>
        <v>12</v>
      </c>
      <c r="G11">
        <f t="shared" ref="G11:J11" si="11">IFERROR(FIND("_",$L11,F11+1),"")</f>
        <v>15</v>
      </c>
      <c r="H11">
        <f t="shared" si="11"/>
        <v>18</v>
      </c>
      <c r="I11">
        <f t="shared" si="11"/>
        <v>26</v>
      </c>
      <c r="J11">
        <f t="shared" si="11"/>
        <v>37</v>
      </c>
      <c r="L1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9712_MT_II_END-801_06-03-2028_Ricardo Filipe Pina Freire.pdf</v>
      </c>
      <c r="O11" t="str">
        <f>IFERROR(INDEX(RX,ROW()-5),"")</f>
        <v/>
      </c>
      <c r="Q11">
        <f>IF(IFERROR(INDEX(MT,ROW()),"")&lt;&gt;"",1,"")</f>
        <v>1</v>
      </c>
      <c r="T11">
        <f>IF(IFERROR(INDEX(PT,ROW()),"")&lt;&gt;"",1,"")</f>
        <v>1</v>
      </c>
      <c r="W11" t="str">
        <f>IF(IFERROR(INDEX(RX,ROW()),"")&lt;&gt;"",1,"")</f>
        <v/>
      </c>
      <c r="Z11" t="str">
        <f>IF(IFERROR(INDEX(UT,ROW()),"")&lt;&gt;"",1,"")</f>
        <v/>
      </c>
      <c r="AC11" t="str">
        <f>IF(IFERROR(INDEX(VT,ROW()),"")&lt;&gt;"",1,"")</f>
        <v/>
      </c>
    </row>
    <row r="12" spans="1:29">
      <c r="A12" t="s">
        <v>12</v>
      </c>
      <c r="F12">
        <f t="shared" si="1"/>
        <v>12</v>
      </c>
      <c r="G12">
        <f t="shared" ref="G12:J12" si="12">IFERROR(FIND("_",$L12,F12+1),"")</f>
        <v>15</v>
      </c>
      <c r="H12">
        <f t="shared" si="12"/>
        <v>18</v>
      </c>
      <c r="I12">
        <f t="shared" si="12"/>
        <v>26</v>
      </c>
      <c r="J12">
        <f t="shared" si="12"/>
        <v>37</v>
      </c>
      <c r="L1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9712_MT_II_END-802_06-03-2028_Bruno Filipe Correia Silva.pdf</v>
      </c>
      <c r="O12" t="str">
        <f>IFERROR(INDEX(RX,ROW()-5),"")</f>
        <v/>
      </c>
      <c r="Q12">
        <f>IF(IFERROR(INDEX(MT,ROW()),"")&lt;&gt;"",1,"")</f>
        <v>1</v>
      </c>
      <c r="T12">
        <f>IF(IFERROR(INDEX(PT,ROW()),"")&lt;&gt;"",1,"")</f>
        <v>1</v>
      </c>
      <c r="W12" t="str">
        <f>IF(IFERROR(INDEX(RX,ROW()),"")&lt;&gt;"",1,"")</f>
        <v/>
      </c>
      <c r="Z12" t="str">
        <f>IF(IFERROR(INDEX(UT,ROW()),"")&lt;&gt;"",1,"")</f>
        <v/>
      </c>
      <c r="AC12" t="str">
        <f>IF(IFERROR(INDEX(VT,ROW()),"")&lt;&gt;"",1,"")</f>
        <v/>
      </c>
    </row>
    <row r="13" spans="1:29">
      <c r="A13" t="str">
        <f>CONCATENATE(C1,"\",A12,"\*")</f>
        <v>Q:\11 - QUALIFICAÇÕES END\1 - QUALIFICAÇÕES END\1 - ASP\UT\*</v>
      </c>
      <c r="F13">
        <f t="shared" si="1"/>
        <v>5</v>
      </c>
      <c r="G13">
        <f t="shared" ref="G13:J13" si="13">IFERROR(FIND("_",$L13,F13+1),"")</f>
        <v>8</v>
      </c>
      <c r="H13">
        <f t="shared" si="13"/>
        <v>11</v>
      </c>
      <c r="I13">
        <f t="shared" si="13"/>
        <v>22</v>
      </c>
      <c r="J13">
        <f t="shared" si="13"/>
        <v>33</v>
      </c>
      <c r="L1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ASNT_PT_II_04-007-NDT_17-11-2027_Fernando Pinheiro da Costa.pdf</v>
      </c>
      <c r="O13" t="str">
        <f>IFERROR(INDEX(RX,ROW()-5),"")</f>
        <v/>
      </c>
      <c r="Q13" t="str">
        <f>IF(IFERROR(INDEX(MT,ROW()),"")&lt;&gt;"",1,"")</f>
        <v/>
      </c>
      <c r="T13">
        <f>IF(IFERROR(INDEX(PT,ROW()),"")&lt;&gt;"",1,"")</f>
        <v>1</v>
      </c>
      <c r="W13" t="str">
        <f>IF(IFERROR(INDEX(RX,ROW()),"")&lt;&gt;"",1,"")</f>
        <v/>
      </c>
      <c r="Z13" t="str">
        <f>IF(IFERROR(INDEX(UT,ROW()),"")&lt;&gt;"",1,"")</f>
        <v/>
      </c>
      <c r="AC13" t="str">
        <f>IF(IFERROR(INDEX(VT,ROW()),"")&lt;&gt;"",1,"")</f>
        <v/>
      </c>
    </row>
    <row r="14" spans="1:29">
      <c r="F14">
        <f t="shared" si="1"/>
        <v>5</v>
      </c>
      <c r="G14">
        <f t="shared" ref="G14:J14" si="14">IFERROR(FIND("_",$L14,F14+1),"")</f>
        <v>8</v>
      </c>
      <c r="H14">
        <f t="shared" si="14"/>
        <v>11</v>
      </c>
      <c r="I14">
        <f t="shared" si="14"/>
        <v>22</v>
      </c>
      <c r="J14">
        <f t="shared" si="14"/>
        <v>33</v>
      </c>
      <c r="L1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ASNT_PT_II_04-008-NDT_17-11-2027_Fernando Jorge Rodrigues Nogueira.pdf</v>
      </c>
      <c r="O14" t="str">
        <f>IFERROR(INDEX(RX,ROW()-5),"")</f>
        <v/>
      </c>
      <c r="Q14" t="str">
        <f>IF(IFERROR(INDEX(MT,ROW()),"")&lt;&gt;"",1,"")</f>
        <v/>
      </c>
      <c r="T14">
        <f>IF(IFERROR(INDEX(PT,ROW()),"")&lt;&gt;"",1,"")</f>
        <v>1</v>
      </c>
      <c r="W14" t="str">
        <f>IF(IFERROR(INDEX(RX,ROW()),"")&lt;&gt;"",1,"")</f>
        <v/>
      </c>
      <c r="Z14" t="str">
        <f>IF(IFERROR(INDEX(UT,ROW()),"")&lt;&gt;"",1,"")</f>
        <v/>
      </c>
      <c r="AC14" t="str">
        <f>IF(IFERROR(INDEX(VT,ROW()),"")&lt;&gt;"",1,"")</f>
        <v/>
      </c>
    </row>
    <row r="15" spans="1:29">
      <c r="A15" t="s">
        <v>13</v>
      </c>
      <c r="F15">
        <f t="shared" si="1"/>
        <v>5</v>
      </c>
      <c r="G15">
        <f t="shared" ref="G15:J15" si="15">IFERROR(FIND("_",$L15,F15+1),"")</f>
        <v>8</v>
      </c>
      <c r="H15">
        <f t="shared" si="15"/>
        <v>11</v>
      </c>
      <c r="I15">
        <f t="shared" si="15"/>
        <v>22</v>
      </c>
      <c r="J15">
        <f t="shared" si="15"/>
        <v>33</v>
      </c>
      <c r="L1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ASNT_PT_II_04-009-NDT_17-11-2027_José Soares Ferreira.pdf</v>
      </c>
      <c r="O15" t="str">
        <f>IFERROR(INDEX(RX,ROW()-5),"")</f>
        <v/>
      </c>
      <c r="Q15" t="str">
        <f>IF(IFERROR(INDEX(MT,ROW()),"")&lt;&gt;"",1,"")</f>
        <v/>
      </c>
      <c r="T15">
        <f>IF(IFERROR(INDEX(PT,ROW()),"")&lt;&gt;"",1,"")</f>
        <v>1</v>
      </c>
      <c r="W15" t="str">
        <f>IF(IFERROR(INDEX(RX,ROW()),"")&lt;&gt;"",1,"")</f>
        <v/>
      </c>
      <c r="Z15" t="str">
        <f>IF(IFERROR(INDEX(UT,ROW()),"")&lt;&gt;"",1,"")</f>
        <v/>
      </c>
      <c r="AC15" t="str">
        <f>IF(IFERROR(INDEX(VT,ROW()),"")&lt;&gt;"",1,"")</f>
        <v/>
      </c>
    </row>
    <row r="16" spans="1:29">
      <c r="A16" t="str">
        <f>CONCATENATE(C1,"\",A15,"\*")</f>
        <v>Q:\11 - QUALIFICAÇÕES END\1 - QUALIFICAÇÕES END\1 - ASP\VT\*</v>
      </c>
      <c r="F16">
        <f t="shared" si="1"/>
        <v>5</v>
      </c>
      <c r="G16">
        <f t="shared" ref="G16:J16" si="16">IFERROR(FIND("_",$L16,F16+1),"")</f>
        <v>8</v>
      </c>
      <c r="H16">
        <f t="shared" si="16"/>
        <v>11</v>
      </c>
      <c r="I16">
        <f t="shared" si="16"/>
        <v>22</v>
      </c>
      <c r="J16">
        <f t="shared" si="16"/>
        <v>33</v>
      </c>
      <c r="L1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ASNT_PT_II_07-017-NDT_17-11-2027_Bruno Filipe Correia Silva.pdf</v>
      </c>
      <c r="O16" t="str">
        <f>IFERROR(INDEX(RX,ROW()-5),"")</f>
        <v/>
      </c>
      <c r="Q16" t="str">
        <f>IF(IFERROR(INDEX(MT,ROW()),"")&lt;&gt;"",1,"")</f>
        <v/>
      </c>
      <c r="T16">
        <f>IF(IFERROR(INDEX(PT,ROW()),"")&lt;&gt;"",1,"")</f>
        <v>1</v>
      </c>
      <c r="W16" t="str">
        <f>IF(IFERROR(INDEX(RX,ROW()),"")&lt;&gt;"",1,"")</f>
        <v/>
      </c>
      <c r="Z16" t="str">
        <f>IF(IFERROR(INDEX(UT,ROW()),"")&lt;&gt;"",1,"")</f>
        <v/>
      </c>
      <c r="AC16" t="str">
        <f>IF(IFERROR(INDEX(VT,ROW()),"")&lt;&gt;"",1,"")</f>
        <v/>
      </c>
    </row>
    <row r="17" spans="5:29">
      <c r="F17">
        <f t="shared" si="1"/>
        <v>5</v>
      </c>
      <c r="G17">
        <f t="shared" ref="G17:J17" si="17">IFERROR(FIND("_",$L17,F17+1),"")</f>
        <v>8</v>
      </c>
      <c r="H17">
        <f t="shared" si="17"/>
        <v>11</v>
      </c>
      <c r="I17">
        <f t="shared" si="17"/>
        <v>22</v>
      </c>
      <c r="J17">
        <f t="shared" si="17"/>
        <v>33</v>
      </c>
      <c r="L1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ASNT_PT_II_22-019-NDT_18-03-2027_Francisco José Pereira Fernandes.pdf</v>
      </c>
      <c r="O17" t="str">
        <f>IFERROR(INDEX(RX,ROW()-5),"")</f>
        <v/>
      </c>
      <c r="Q17" t="str">
        <f>IF(IFERROR(INDEX(MT,ROW()),"")&lt;&gt;"",1,"")</f>
        <v/>
      </c>
      <c r="T17">
        <f>IF(IFERROR(INDEX(PT,ROW()),"")&lt;&gt;"",1,"")</f>
        <v>1</v>
      </c>
      <c r="W17" t="str">
        <f>IF(IFERROR(INDEX(RX,ROW()),"")&lt;&gt;"",1,"")</f>
        <v/>
      </c>
      <c r="Z17" t="str">
        <f>IF(IFERROR(INDEX(UT,ROW()),"")&lt;&gt;"",1,"")</f>
        <v/>
      </c>
      <c r="AC17" t="str">
        <f>IF(IFERROR(INDEX(VT,ROW()),"")&lt;&gt;"",1,"")</f>
        <v/>
      </c>
    </row>
    <row r="18" spans="5:29">
      <c r="F18">
        <f t="shared" si="1"/>
        <v>5</v>
      </c>
      <c r="G18">
        <f t="shared" ref="G18:J18" si="18">IFERROR(FIND("_",$L18,F18+1),"")</f>
        <v>8</v>
      </c>
      <c r="H18">
        <f t="shared" si="18"/>
        <v>11</v>
      </c>
      <c r="I18">
        <f t="shared" si="18"/>
        <v>22</v>
      </c>
      <c r="J18">
        <f t="shared" si="18"/>
        <v>33</v>
      </c>
      <c r="L1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ASNT_PT_II_22-020-NDT_18-03-2027_Fernando Miguel Pinho Fernandes.pdf</v>
      </c>
      <c r="O18" t="str">
        <f>IFERROR(INDEX(RX,ROW()-5),"")</f>
        <v/>
      </c>
      <c r="Q18" t="str">
        <f>IF(IFERROR(INDEX(MT,ROW()),"")&lt;&gt;"",1,"")</f>
        <v/>
      </c>
      <c r="T18" t="str">
        <f>IF(IFERROR(INDEX(PT,ROW()),"")&lt;&gt;"",1,"")</f>
        <v/>
      </c>
      <c r="W18" t="str">
        <f>IF(IFERROR(INDEX(RX,ROW()),"")&lt;&gt;"",1,"")</f>
        <v/>
      </c>
      <c r="Z18" t="str">
        <f>IF(IFERROR(INDEX(UT,ROW()),"")&lt;&gt;"",1,"")</f>
        <v/>
      </c>
      <c r="AC18" t="str">
        <f>IF(IFERROR(INDEX(VT,ROW()),"")&lt;&gt;"",1,"")</f>
        <v/>
      </c>
    </row>
    <row r="19" spans="5:29">
      <c r="E19" t="str">
        <f>IFERROR(INDEX(PT,ROW()-5),"")</f>
        <v>EN ISO 9712_PT_II_END-442_05-04-2025_Bruno Filipe Correia Silva.pdf</v>
      </c>
      <c r="F19">
        <f t="shared" si="1"/>
        <v>5</v>
      </c>
      <c r="G19">
        <f t="shared" ref="G19:J19" si="19">IFERROR(FIND("_",$L19,F19+1),"")</f>
        <v>8</v>
      </c>
      <c r="H19">
        <f t="shared" si="19"/>
        <v>11</v>
      </c>
      <c r="I19">
        <f t="shared" si="19"/>
        <v>22</v>
      </c>
      <c r="J19">
        <f t="shared" si="19"/>
        <v>33</v>
      </c>
      <c r="L1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ASNT_PT_II_22-021-NDT_18-03-2027_José Eduardo Martins Pinho.pdf</v>
      </c>
      <c r="O19" t="str">
        <f>IFERROR(INDEX(RX,ROW()-5),"")</f>
        <v/>
      </c>
      <c r="Q19" t="str">
        <f>IF(IFERROR(INDEX(MT,ROW()),"")&lt;&gt;"",1,"")</f>
        <v/>
      </c>
      <c r="T19" t="str">
        <f>IF(IFERROR(INDEX(PT,ROW()),"")&lt;&gt;"",1,"")</f>
        <v/>
      </c>
      <c r="W19" t="str">
        <f>IF(IFERROR(INDEX(RX,ROW()),"")&lt;&gt;"",1,"")</f>
        <v/>
      </c>
      <c r="Z19" t="str">
        <f>IF(IFERROR(INDEX(UT,ROW()),"")&lt;&gt;"",1,"")</f>
        <v/>
      </c>
      <c r="AC19" t="str">
        <f>IF(IFERROR(INDEX(VT,ROW()),"")&lt;&gt;"",1,"")</f>
        <v/>
      </c>
    </row>
    <row r="20" spans="5:29">
      <c r="E20" t="str">
        <f>IFERROR(INDEX(PT,ROW()-5),"")</f>
        <v>EN ISO 9712_PT_II_END-464_19-04-2025_Francisco José Pereira Fernandes.pdf</v>
      </c>
      <c r="F20">
        <f t="shared" si="1"/>
        <v>5</v>
      </c>
      <c r="G20">
        <f t="shared" ref="G20:J20" si="20">IFERROR(FIND("_",$L20,F20+1),"")</f>
        <v>8</v>
      </c>
      <c r="H20">
        <f t="shared" si="20"/>
        <v>11</v>
      </c>
      <c r="I20">
        <f t="shared" si="20"/>
        <v>22</v>
      </c>
      <c r="J20">
        <f t="shared" si="20"/>
        <v>33</v>
      </c>
      <c r="L2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ASNT_PT_II_22-022-NDT_18-03-2027_Marcelo Filipe Ferreira Pinto.pdf</v>
      </c>
      <c r="O20" t="str">
        <f>IFERROR(INDEX(RX,ROW()-5),"")</f>
        <v/>
      </c>
      <c r="Q20" t="str">
        <f>IF(IFERROR(INDEX(MT,ROW()),"")&lt;&gt;"",1,"")</f>
        <v/>
      </c>
      <c r="T20" t="str">
        <f>IF(IFERROR(INDEX(PT,ROW()),"")&lt;&gt;"",1,"")</f>
        <v/>
      </c>
      <c r="W20" t="str">
        <f>IF(IFERROR(INDEX(RX,ROW()),"")&lt;&gt;"",1,"")</f>
        <v/>
      </c>
      <c r="Z20" t="str">
        <f>IF(IFERROR(INDEX(UT,ROW()),"")&lt;&gt;"",1,"")</f>
        <v/>
      </c>
      <c r="AC20" t="str">
        <f>IF(IFERROR(INDEX(VT,ROW()),"")&lt;&gt;"",1,"")</f>
        <v/>
      </c>
    </row>
    <row r="21" spans="5:29">
      <c r="E21" t="str">
        <f>IFERROR(INDEX(PT,ROW()-5),"")</f>
        <v>EN ISO 9712_PT_II_END-619_09-01-2027_Filipe Silva Melo Almeida.pdf</v>
      </c>
      <c r="F21">
        <f t="shared" si="1"/>
        <v>12</v>
      </c>
      <c r="G21">
        <f t="shared" ref="G21:J21" si="21">IFERROR(FIND("_",$L21,F21+1),"")</f>
        <v>15</v>
      </c>
      <c r="H21">
        <f t="shared" si="21"/>
        <v>18</v>
      </c>
      <c r="I21">
        <f t="shared" si="21"/>
        <v>27</v>
      </c>
      <c r="J21">
        <f t="shared" si="21"/>
        <v>38</v>
      </c>
      <c r="L2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9712_PT_II_END-1472_24-02-2024_Fernando Miguel Pinho Fernandes.pdf</v>
      </c>
      <c r="O21" t="str">
        <f>IFERROR(INDEX(RX,ROW()-5),"")</f>
        <v/>
      </c>
      <c r="Q21" t="str">
        <f>IF(IFERROR(INDEX(MT,ROW()),"")&lt;&gt;"",1,"")</f>
        <v/>
      </c>
      <c r="T21" t="str">
        <f>IF(IFERROR(INDEX(PT,ROW()),"")&lt;&gt;"",1,"")</f>
        <v/>
      </c>
      <c r="W21" t="str">
        <f>IF(IFERROR(INDEX(RX,ROW()),"")&lt;&gt;"",1,"")</f>
        <v/>
      </c>
      <c r="Z21" t="str">
        <f>IF(IFERROR(INDEX(UT,ROW()),"")&lt;&gt;"",1,"")</f>
        <v/>
      </c>
      <c r="AC21" t="str">
        <f>IF(IFERROR(INDEX(VT,ROW()),"")&lt;&gt;"",1,"")</f>
        <v/>
      </c>
    </row>
    <row r="22" spans="5:29">
      <c r="E22" t="str">
        <f>IFERROR(INDEX(PT,ROW()-5),"")</f>
        <v>EN ISO 9712_PT_II_END-833_06-08-2028_José Soares Ferreira.pdf</v>
      </c>
      <c r="F22">
        <f t="shared" si="1"/>
        <v>12</v>
      </c>
      <c r="G22">
        <f t="shared" ref="G22:J22" si="22">IFERROR(FIND("_",$L22,F22+1),"")</f>
        <v>15</v>
      </c>
      <c r="H22">
        <f t="shared" si="22"/>
        <v>18</v>
      </c>
      <c r="I22">
        <f t="shared" si="22"/>
        <v>27</v>
      </c>
      <c r="J22">
        <f t="shared" si="22"/>
        <v>38</v>
      </c>
      <c r="L2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9712_PT_II_END-1473_24-02-2024_José Eduardo Martins Pinho.pdf</v>
      </c>
      <c r="O22" t="str">
        <f>IFERROR(INDEX(RX,ROW()-5),"")</f>
        <v/>
      </c>
      <c r="Q22" t="str">
        <f>IF(IFERROR(INDEX(MT,ROW()),"")&lt;&gt;"",1,"")</f>
        <v/>
      </c>
      <c r="T22" t="str">
        <f>IF(IFERROR(INDEX(PT,ROW()),"")&lt;&gt;"",1,"")</f>
        <v/>
      </c>
      <c r="W22" t="str">
        <f>IF(IFERROR(INDEX(RX,ROW()),"")&lt;&gt;"",1,"")</f>
        <v/>
      </c>
      <c r="Z22" t="str">
        <f>IF(IFERROR(INDEX(UT,ROW()),"")&lt;&gt;"",1,"")</f>
        <v/>
      </c>
      <c r="AC22" t="str">
        <f>IF(IFERROR(INDEX(VT,ROW()),"")&lt;&gt;"",1,"")</f>
        <v/>
      </c>
    </row>
    <row r="23" spans="5:29">
      <c r="E23" t="str">
        <f>IFERROR(INDEX(PT,ROW()-5),"")</f>
        <v/>
      </c>
      <c r="F23">
        <f t="shared" si="1"/>
        <v>12</v>
      </c>
      <c r="G23">
        <f t="shared" ref="G23:J23" si="23">IFERROR(FIND("_",$L23,F23+1),"")</f>
        <v>15</v>
      </c>
      <c r="H23">
        <f t="shared" si="23"/>
        <v>18</v>
      </c>
      <c r="I23">
        <f t="shared" si="23"/>
        <v>27</v>
      </c>
      <c r="J23">
        <f t="shared" si="23"/>
        <v>38</v>
      </c>
      <c r="L2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9712_PT_II_END-1474_24-02-2024_Marcelo Filipe Ferreira Pinto.pdf</v>
      </c>
      <c r="O23" t="str">
        <f>IFERROR(INDEX(RX,ROW()-5),"")</f>
        <v/>
      </c>
      <c r="Q23" t="str">
        <f>IF(IFERROR(INDEX(MT,ROW()),"")&lt;&gt;"",1,"")</f>
        <v/>
      </c>
      <c r="T23" t="str">
        <f>IF(IFERROR(INDEX(PT,ROW()),"")&lt;&gt;"",1,"")</f>
        <v/>
      </c>
      <c r="W23" t="str">
        <f>IF(IFERROR(INDEX(RX,ROW()),"")&lt;&gt;"",1,"")</f>
        <v/>
      </c>
      <c r="Z23" t="str">
        <f>IF(IFERROR(INDEX(UT,ROW()),"")&lt;&gt;"",1,"")</f>
        <v/>
      </c>
      <c r="AC23" t="str">
        <f>IF(IFERROR(INDEX(VT,ROW()),"")&lt;&gt;"",1,"")</f>
        <v/>
      </c>
    </row>
    <row r="24" spans="5:29">
      <c r="E24" t="str">
        <f>IFERROR(INDEX(PT,ROW()-5),"")</f>
        <v/>
      </c>
      <c r="F24">
        <f t="shared" si="1"/>
        <v>12</v>
      </c>
      <c r="G24">
        <f t="shared" ref="G24:J24" si="24">IFERROR(FIND("_",$L24,F24+1),"")</f>
        <v>15</v>
      </c>
      <c r="H24">
        <f t="shared" si="24"/>
        <v>18</v>
      </c>
      <c r="I24">
        <f t="shared" si="24"/>
        <v>26</v>
      </c>
      <c r="J24">
        <f t="shared" si="24"/>
        <v>37</v>
      </c>
      <c r="L2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9712_PT_II_END-188_05-07-2025_Fernando Pinheiro da Costa.pdf</v>
      </c>
      <c r="O24" t="str">
        <f>IFERROR(INDEX(RX,ROW()-5),"")</f>
        <v/>
      </c>
      <c r="Q24" t="str">
        <f>IF(IFERROR(INDEX(MT,ROW()),"")&lt;&gt;"",1,"")</f>
        <v/>
      </c>
      <c r="T24" t="str">
        <f>IF(IFERROR(INDEX(PT,ROW()),"")&lt;&gt;"",1,"")</f>
        <v/>
      </c>
      <c r="W24" t="str">
        <f>IF(IFERROR(INDEX(RX,ROW()),"")&lt;&gt;"",1,"")</f>
        <v/>
      </c>
      <c r="Z24" t="str">
        <f>IF(IFERROR(INDEX(UT,ROW()),"")&lt;&gt;"",1,"")</f>
        <v/>
      </c>
      <c r="AC24" t="str">
        <f>IF(IFERROR(INDEX(VT,ROW()),"")&lt;&gt;"",1,"")</f>
        <v/>
      </c>
    </row>
    <row r="25" spans="5:29">
      <c r="E25" t="str">
        <f>IFERROR(INDEX(PT,ROW()-5),"")</f>
        <v/>
      </c>
      <c r="F25">
        <f t="shared" si="1"/>
        <v>12</v>
      </c>
      <c r="G25">
        <f t="shared" ref="G25:J25" si="25">IFERROR(FIND("_",$L25,F25+1),"")</f>
        <v>15</v>
      </c>
      <c r="H25">
        <f t="shared" si="25"/>
        <v>18</v>
      </c>
      <c r="I25">
        <f t="shared" si="25"/>
        <v>26</v>
      </c>
      <c r="J25">
        <f t="shared" si="25"/>
        <v>37</v>
      </c>
      <c r="L2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9712_PT_II_END-203_19-09-2025_Fernando Jorge Rodrigues Nogueira.pdf</v>
      </c>
      <c r="O25" t="str">
        <f>IFERROR(INDEX(RX,ROW()-5),"")</f>
        <v/>
      </c>
      <c r="Q25" t="str">
        <f>IF(IFERROR(INDEX(MT,ROW()),"")&lt;&gt;"",1,"")</f>
        <v/>
      </c>
      <c r="T25" t="str">
        <f>IF(IFERROR(INDEX(PT,ROW()),"")&lt;&gt;"",1,"")</f>
        <v/>
      </c>
      <c r="W25" t="str">
        <f>IF(IFERROR(INDEX(RX,ROW()),"")&lt;&gt;"",1,"")</f>
        <v/>
      </c>
      <c r="Z25" t="str">
        <f>IF(IFERROR(INDEX(UT,ROW()),"")&lt;&gt;"",1,"")</f>
        <v/>
      </c>
      <c r="AC25" t="str">
        <f>IF(IFERROR(INDEX(VT,ROW()),"")&lt;&gt;"",1,"")</f>
        <v/>
      </c>
    </row>
    <row r="26" spans="5:29">
      <c r="E26" t="str">
        <f>IFERROR(INDEX(PT,ROW()-5),"")</f>
        <v/>
      </c>
      <c r="F26">
        <f t="shared" si="1"/>
        <v>12</v>
      </c>
      <c r="G26">
        <f t="shared" ref="G26:J26" si="26">IFERROR(FIND("_",$L26,F26+1),"")</f>
        <v>15</v>
      </c>
      <c r="H26">
        <f t="shared" si="26"/>
        <v>18</v>
      </c>
      <c r="I26">
        <f t="shared" si="26"/>
        <v>26</v>
      </c>
      <c r="J26">
        <f t="shared" si="26"/>
        <v>37</v>
      </c>
      <c r="L2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9712_PT_II_END-442_05-04-2025_Bruno Filipe Correia Silva.pdf</v>
      </c>
      <c r="O26" t="str">
        <f>IFERROR(INDEX(RX,ROW()-5),"")</f>
        <v/>
      </c>
      <c r="Q26" t="str">
        <f>IF(IFERROR(INDEX(MT,ROW()),"")&lt;&gt;"",1,"")</f>
        <v/>
      </c>
      <c r="T26" t="str">
        <f>IF(IFERROR(INDEX(PT,ROW()),"")&lt;&gt;"",1,"")</f>
        <v/>
      </c>
      <c r="W26" t="str">
        <f>IF(IFERROR(INDEX(RX,ROW()),"")&lt;&gt;"",1,"")</f>
        <v/>
      </c>
      <c r="Z26" t="str">
        <f>IF(IFERROR(INDEX(UT,ROW()),"")&lt;&gt;"",1,"")</f>
        <v/>
      </c>
      <c r="AC26" t="str">
        <f>IF(IFERROR(INDEX(VT,ROW()),"")&lt;&gt;"",1,"")</f>
        <v/>
      </c>
    </row>
    <row r="27" spans="5:29">
      <c r="E27" t="str">
        <f>IFERROR(INDEX(PT,ROW()-5),"")</f>
        <v/>
      </c>
      <c r="F27">
        <f t="shared" si="1"/>
        <v>12</v>
      </c>
      <c r="G27">
        <f t="shared" ref="G27:J27" si="27">IFERROR(FIND("_",$L27,F27+1),"")</f>
        <v>15</v>
      </c>
      <c r="H27">
        <f t="shared" si="27"/>
        <v>18</v>
      </c>
      <c r="I27">
        <f t="shared" si="27"/>
        <v>26</v>
      </c>
      <c r="J27">
        <f t="shared" si="27"/>
        <v>37</v>
      </c>
      <c r="L2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9712_PT_II_END-464_19-04-2025_Francisco José Pereira Fernandes.pdf</v>
      </c>
      <c r="O27" t="str">
        <f>IFERROR(INDEX(RX,ROW()-5),"")</f>
        <v/>
      </c>
      <c r="Q27" t="str">
        <f>IF(IFERROR(INDEX(MT,ROW()),"")&lt;&gt;"",1,"")</f>
        <v/>
      </c>
      <c r="T27" t="str">
        <f>IF(IFERROR(INDEX(PT,ROW()),"")&lt;&gt;"",1,"")</f>
        <v/>
      </c>
      <c r="W27" t="str">
        <f>IF(IFERROR(INDEX(RX,ROW()),"")&lt;&gt;"",1,"")</f>
        <v/>
      </c>
      <c r="Z27" t="str">
        <f>IF(IFERROR(INDEX(UT,ROW()),"")&lt;&gt;"",1,"")</f>
        <v/>
      </c>
      <c r="AC27" t="str">
        <f>IF(IFERROR(INDEX(VT,ROW()),"")&lt;&gt;"",1,"")</f>
        <v/>
      </c>
    </row>
    <row r="28" spans="5:29">
      <c r="E28" t="str">
        <f>IFERROR(INDEX(PT,ROW()-5),"")</f>
        <v/>
      </c>
      <c r="F28">
        <f t="shared" si="1"/>
        <v>12</v>
      </c>
      <c r="G28">
        <f t="shared" ref="G28:J28" si="28">IFERROR(FIND("_",$L28,F28+1),"")</f>
        <v>15</v>
      </c>
      <c r="H28">
        <f t="shared" si="28"/>
        <v>18</v>
      </c>
      <c r="I28">
        <f t="shared" si="28"/>
        <v>26</v>
      </c>
      <c r="J28">
        <f t="shared" si="28"/>
        <v>37</v>
      </c>
      <c r="L2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9712_PT_II_END-619_09-01-2027_Filipe Silva Melo Almeida.pdf</v>
      </c>
      <c r="O28" t="str">
        <f>IFERROR(INDEX(RX,ROW()-5),"")</f>
        <v/>
      </c>
      <c r="Q28" t="str">
        <f>IF(IFERROR(INDEX(MT,ROW()),"")&lt;&gt;"",1,"")</f>
        <v/>
      </c>
      <c r="T28" t="str">
        <f>IF(IFERROR(INDEX(PT,ROW()),"")&lt;&gt;"",1,"")</f>
        <v/>
      </c>
      <c r="W28" t="str">
        <f>IF(IFERROR(INDEX(RX,ROW()),"")&lt;&gt;"",1,"")</f>
        <v/>
      </c>
      <c r="Z28" t="str">
        <f>IF(IFERROR(INDEX(UT,ROW()),"")&lt;&gt;"",1,"")</f>
        <v/>
      </c>
      <c r="AC28" t="str">
        <f>IF(IFERROR(INDEX(VT,ROW()),"")&lt;&gt;"",1,"")</f>
        <v/>
      </c>
    </row>
    <row r="29" spans="5:29">
      <c r="E29" t="str">
        <f>IFERROR(INDEX(PT,ROW()-5),"")</f>
        <v/>
      </c>
      <c r="F29">
        <f t="shared" si="1"/>
        <v>12</v>
      </c>
      <c r="G29">
        <f t="shared" ref="G29:J29" si="29">IFERROR(FIND("_",$L29,F29+1),"")</f>
        <v>15</v>
      </c>
      <c r="H29">
        <f t="shared" si="29"/>
        <v>18</v>
      </c>
      <c r="I29">
        <f t="shared" si="29"/>
        <v>26</v>
      </c>
      <c r="J29">
        <f t="shared" si="29"/>
        <v>37</v>
      </c>
      <c r="L2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9712_PT_II_END-833_06-08-2028_José Soares Ferreira.pdf</v>
      </c>
      <c r="O29" t="str">
        <f>IFERROR(INDEX(RX,ROW()-5),"")</f>
        <v/>
      </c>
      <c r="Q29" t="str">
        <f>IF(IFERROR(INDEX(MT,ROW()),"")&lt;&gt;"",1,"")</f>
        <v/>
      </c>
      <c r="T29" t="str">
        <f>IF(IFERROR(INDEX(PT,ROW()),"")&lt;&gt;"",1,"")</f>
        <v/>
      </c>
      <c r="W29" t="str">
        <f>IF(IFERROR(INDEX(RX,ROW()),"")&lt;&gt;"",1,"")</f>
        <v/>
      </c>
      <c r="Z29" t="str">
        <f>IF(IFERROR(INDEX(UT,ROW()),"")&lt;&gt;"",1,"")</f>
        <v/>
      </c>
      <c r="AC29" t="str">
        <f>IF(IFERROR(INDEX(VT,ROW()),"")&lt;&gt;"",1,"")</f>
        <v/>
      </c>
    </row>
    <row r="30" spans="5:29">
      <c r="E30" t="str">
        <f>IFERROR(INDEX(PT,ROW()-5),"")</f>
        <v/>
      </c>
      <c r="F30">
        <f t="shared" si="1"/>
        <v>5</v>
      </c>
      <c r="G30">
        <f t="shared" ref="G30:J30" si="30">IFERROR(FIND("_",$L30,F30+1),"")</f>
        <v>8</v>
      </c>
      <c r="H30">
        <f t="shared" si="30"/>
        <v>11</v>
      </c>
      <c r="I30">
        <f t="shared" si="30"/>
        <v>22</v>
      </c>
      <c r="J30">
        <f t="shared" si="30"/>
        <v>33</v>
      </c>
      <c r="L3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ASNT_RT_II_07-015-NDT_17-01-2027_Fernando Pinheiro da Costa.pdf</v>
      </c>
      <c r="O30" t="str">
        <f>IFERROR(INDEX(RX,ROW()-5),"")</f>
        <v/>
      </c>
      <c r="Q30" t="str">
        <f>IF(IFERROR(INDEX(MT,ROW()),"")&lt;&gt;"",1,"")</f>
        <v/>
      </c>
      <c r="T30" t="str">
        <f>IF(IFERROR(INDEX(PT,ROW()),"")&lt;&gt;"",1,"")</f>
        <v/>
      </c>
      <c r="W30" t="str">
        <f>IF(IFERROR(INDEX(RX,ROW()),"")&lt;&gt;"",1,"")</f>
        <v/>
      </c>
      <c r="Z30" t="str">
        <f>IF(IFERROR(INDEX(UT,ROW()),"")&lt;&gt;"",1,"")</f>
        <v/>
      </c>
      <c r="AC30" t="str">
        <f>IF(IFERROR(INDEX(VT,ROW()),"")&lt;&gt;"",1,"")</f>
        <v/>
      </c>
    </row>
    <row r="31" spans="5:29">
      <c r="E31" t="str">
        <f>IFERROR(INDEX(PT,ROW()-5),"")</f>
        <v/>
      </c>
      <c r="F31">
        <f t="shared" si="1"/>
        <v>12</v>
      </c>
      <c r="G31">
        <f t="shared" ref="G31:J31" si="31">IFERROR(FIND("_",$L31,F31+1),"")</f>
        <v>15</v>
      </c>
      <c r="H31">
        <f t="shared" si="31"/>
        <v>18</v>
      </c>
      <c r="I31">
        <f t="shared" si="31"/>
        <v>26</v>
      </c>
      <c r="J31">
        <f t="shared" si="31"/>
        <v>37</v>
      </c>
      <c r="L3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9712_RT_II_END-148_17-09-2024_Fernando Pinheiro da Costa.pdf</v>
      </c>
      <c r="O31" t="str">
        <f>IFERROR(INDEX(RX,ROW()-5),"")</f>
        <v/>
      </c>
      <c r="Q31" t="str">
        <f>IF(IFERROR(INDEX(MT,ROW()),"")&lt;&gt;"",1,"")</f>
        <v/>
      </c>
      <c r="T31" t="str">
        <f>IF(IFERROR(INDEX(PT,ROW()),"")&lt;&gt;"",1,"")</f>
        <v/>
      </c>
      <c r="W31" t="str">
        <f>IF(IFERROR(INDEX(RX,ROW()),"")&lt;&gt;"",1,"")</f>
        <v/>
      </c>
      <c r="Z31" t="str">
        <f>IF(IFERROR(INDEX(UT,ROW()),"")&lt;&gt;"",1,"")</f>
        <v/>
      </c>
      <c r="AC31" t="str">
        <f>IF(IFERROR(INDEX(VT,ROW()),"")&lt;&gt;"",1,"")</f>
        <v/>
      </c>
    </row>
    <row r="32" spans="5:29">
      <c r="E32" t="str">
        <f>IFERROR(INDEX(PT,ROW()-5),"")</f>
        <v/>
      </c>
      <c r="F32">
        <f t="shared" si="1"/>
        <v>12</v>
      </c>
      <c r="G32">
        <f t="shared" ref="G32:J32" si="32">IFERROR(FIND("_",$L32,F32+1),"")</f>
        <v>15</v>
      </c>
      <c r="H32">
        <f t="shared" si="32"/>
        <v>17</v>
      </c>
      <c r="I32">
        <f t="shared" si="32"/>
        <v>25</v>
      </c>
      <c r="J32">
        <f t="shared" si="32"/>
        <v>36</v>
      </c>
      <c r="L3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9712_RT_I_END-611_28-08-2026_Ricardo Filipe Pina Freire.pdf</v>
      </c>
      <c r="O32" t="str">
        <f>IFERROR(INDEX(RX,ROW()-5),"")</f>
        <v/>
      </c>
      <c r="Q32" t="str">
        <f>IF(IFERROR(INDEX(MT,ROW()),"")&lt;&gt;"",1,"")</f>
        <v/>
      </c>
      <c r="T32" t="str">
        <f>IF(IFERROR(INDEX(PT,ROW()),"")&lt;&gt;"",1,"")</f>
        <v/>
      </c>
      <c r="W32" t="str">
        <f>IF(IFERROR(INDEX(RX,ROW()),"")&lt;&gt;"",1,"")</f>
        <v/>
      </c>
      <c r="Z32" t="str">
        <f>IF(IFERROR(INDEX(UT,ROW()),"")&lt;&gt;"",1,"")</f>
        <v/>
      </c>
      <c r="AC32" t="str">
        <f>IF(IFERROR(INDEX(VT,ROW()),"")&lt;&gt;"",1,"")</f>
        <v/>
      </c>
    </row>
    <row r="33" spans="1:29">
      <c r="A33" t="str">
        <f>IFERROR(INDEX(MT,ROW()-5),"")</f>
        <v/>
      </c>
      <c r="E33" t="str">
        <f>IFERROR(INDEX(PT,ROW()-5),"")</f>
        <v/>
      </c>
      <c r="F33">
        <f t="shared" si="1"/>
        <v>5</v>
      </c>
      <c r="G33">
        <f t="shared" ref="G33:J33" si="33">IFERROR(FIND("_",$L33,F33+1),"")</f>
        <v>8</v>
      </c>
      <c r="H33">
        <f t="shared" si="33"/>
        <v>11</v>
      </c>
      <c r="I33">
        <f t="shared" si="33"/>
        <v>22</v>
      </c>
      <c r="J33">
        <f t="shared" si="33"/>
        <v>33</v>
      </c>
      <c r="L3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ASNT_UT_II_05-012-NDT_15-12-2028_Fernando Pinheiro da Costa.pdf</v>
      </c>
      <c r="O33" t="str">
        <f>IFERROR(INDEX(RX,ROW()-5),"")</f>
        <v/>
      </c>
      <c r="Q33" t="str">
        <f>IF(IFERROR(INDEX(MT,ROW()),"")&lt;&gt;"",1,"")</f>
        <v/>
      </c>
      <c r="T33" t="str">
        <f>IF(IFERROR(INDEX(PT,ROW()),"")&lt;&gt;"",1,"")</f>
        <v/>
      </c>
      <c r="W33" t="str">
        <f>IF(IFERROR(INDEX(RX,ROW()),"")&lt;&gt;"",1,"")</f>
        <v/>
      </c>
      <c r="Z33" t="str">
        <f>IF(IFERROR(INDEX(UT,ROW()),"")&lt;&gt;"",1,"")</f>
        <v/>
      </c>
      <c r="AC33" t="str">
        <f>IF(IFERROR(INDEX(VT,ROW()),"")&lt;&gt;"",1,"")</f>
        <v/>
      </c>
    </row>
    <row r="34" spans="1:29">
      <c r="A34" t="str">
        <f>IFERROR(INDEX(MT,ROW()-5),"")</f>
        <v/>
      </c>
      <c r="E34" t="str">
        <f>IFERROR(INDEX(PT,ROW()-5),"")</f>
        <v/>
      </c>
      <c r="F34">
        <f t="shared" si="1"/>
        <v>5</v>
      </c>
      <c r="G34">
        <f t="shared" ref="G34:J34" si="34">IFERROR(FIND("_",$L34,F34+1),"")</f>
        <v>8</v>
      </c>
      <c r="H34">
        <f t="shared" si="34"/>
        <v>11</v>
      </c>
      <c r="I34">
        <f t="shared" si="34"/>
        <v>22</v>
      </c>
      <c r="J34">
        <f t="shared" si="34"/>
        <v>33</v>
      </c>
      <c r="L3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ASNT_UT_II_05-013-NDT_15-12-2028_Fernando Jorge Rodrigues Nogueira.pdf</v>
      </c>
      <c r="O34" t="str">
        <f>IFERROR(INDEX(RX,ROW()-5),"")</f>
        <v/>
      </c>
      <c r="Q34" t="str">
        <f>IF(IFERROR(INDEX(MT,ROW()),"")&lt;&gt;"",1,"")</f>
        <v/>
      </c>
      <c r="T34" t="str">
        <f>IF(IFERROR(INDEX(PT,ROW()),"")&lt;&gt;"",1,"")</f>
        <v/>
      </c>
      <c r="W34" t="str">
        <f>IF(IFERROR(INDEX(RX,ROW()),"")&lt;&gt;"",1,"")</f>
        <v/>
      </c>
      <c r="Z34" t="str">
        <f>IF(IFERROR(INDEX(UT,ROW()),"")&lt;&gt;"",1,"")</f>
        <v/>
      </c>
      <c r="AC34" t="str">
        <f>IF(IFERROR(INDEX(VT,ROW()),"")&lt;&gt;"",1,"")</f>
        <v/>
      </c>
    </row>
    <row r="35" spans="1:29">
      <c r="A35" t="str">
        <f>IFERROR(INDEX(MT,ROW()-5),"")</f>
        <v/>
      </c>
      <c r="E35" t="str">
        <f>IFERROR(INDEX(PT,ROW()-5),"")</f>
        <v/>
      </c>
      <c r="F35">
        <f t="shared" si="1"/>
        <v>12</v>
      </c>
      <c r="G35">
        <f t="shared" ref="G35:J35" si="35">IFERROR(FIND("_",$L35,F35+1),"")</f>
        <v>15</v>
      </c>
      <c r="H35">
        <f t="shared" si="35"/>
        <v>18</v>
      </c>
      <c r="I35">
        <f t="shared" si="35"/>
        <v>31</v>
      </c>
      <c r="J35">
        <f t="shared" si="35"/>
        <v>42</v>
      </c>
      <c r="L3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9712_VT_II_23TO00452PN6_16-07-2028_Francisco Manuel Conceição Oliveira.pdf</v>
      </c>
      <c r="O35" t="str">
        <f>IFERROR(INDEX(RX,ROW()-5),"")</f>
        <v/>
      </c>
      <c r="Q35" t="str">
        <f>IF(IFERROR(INDEX(MT,ROW()),"")&lt;&gt;"",1,"")</f>
        <v/>
      </c>
      <c r="T35" t="str">
        <f>IF(IFERROR(INDEX(PT,ROW()),"")&lt;&gt;"",1,"")</f>
        <v/>
      </c>
      <c r="W35" t="str">
        <f>IF(IFERROR(INDEX(RX,ROW()),"")&lt;&gt;"",1,"")</f>
        <v/>
      </c>
      <c r="Z35" t="str">
        <f>IF(IFERROR(INDEX(UT,ROW()),"")&lt;&gt;"",1,"")</f>
        <v/>
      </c>
      <c r="AC35" t="str">
        <f>IF(IFERROR(INDEX(VT,ROW()),"")&lt;&gt;"",1,"")</f>
        <v/>
      </c>
    </row>
    <row r="36" spans="1:29">
      <c r="A36" t="str">
        <f>IFERROR(INDEX(MT,ROW()-5),"")</f>
        <v/>
      </c>
      <c r="E36" t="str">
        <f>IFERROR(INDEX(PT,ROW()-5),"")</f>
        <v/>
      </c>
      <c r="F36">
        <f t="shared" si="1"/>
        <v>12</v>
      </c>
      <c r="G36">
        <f t="shared" ref="G36:J36" si="36">IFERROR(FIND("_",$L36,F36+1),"")</f>
        <v>15</v>
      </c>
      <c r="H36">
        <f t="shared" si="36"/>
        <v>18</v>
      </c>
      <c r="I36">
        <f t="shared" si="36"/>
        <v>31</v>
      </c>
      <c r="J36">
        <f t="shared" si="36"/>
        <v>42</v>
      </c>
      <c r="L3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9712_VT_II_23TO00452PN8_16-07-2028_José Eduardo Martins Pinho.pdf</v>
      </c>
      <c r="O36" t="str">
        <f>IFERROR(INDEX(RX,ROW()-5),"")</f>
        <v/>
      </c>
      <c r="Q36" t="str">
        <f>IF(IFERROR(INDEX(MT,ROW()),"")&lt;&gt;"",1,"")</f>
        <v/>
      </c>
      <c r="T36" t="str">
        <f>IF(IFERROR(INDEX(PT,ROW()),"")&lt;&gt;"",1,"")</f>
        <v/>
      </c>
      <c r="W36" t="str">
        <f>IF(IFERROR(INDEX(RX,ROW()),"")&lt;&gt;"",1,"")</f>
        <v/>
      </c>
      <c r="Z36" t="str">
        <f>IF(IFERROR(INDEX(UT,ROW()),"")&lt;&gt;"",1,"")</f>
        <v/>
      </c>
      <c r="AC36" t="str">
        <f>IF(IFERROR(INDEX(VT,ROW()),"")&lt;&gt;"",1,"")</f>
        <v/>
      </c>
    </row>
    <row r="37" spans="1:29">
      <c r="A37" t="str">
        <f>IFERROR(INDEX(MT,ROW()-5),"")</f>
        <v/>
      </c>
      <c r="E37" t="str">
        <f>IFERROR(INDEX(PT,ROW()-5),"")</f>
        <v/>
      </c>
      <c r="F37">
        <f t="shared" si="1"/>
        <v>12</v>
      </c>
      <c r="G37">
        <f t="shared" ref="G37:J37" si="37">IFERROR(FIND("_",$L37,F37+1),"")</f>
        <v>15</v>
      </c>
      <c r="H37">
        <f t="shared" si="37"/>
        <v>18</v>
      </c>
      <c r="I37">
        <f t="shared" si="37"/>
        <v>26</v>
      </c>
      <c r="J37">
        <f t="shared" si="37"/>
        <v>37</v>
      </c>
      <c r="L3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9712_VT_II_END-969_20-05-2024_Bruno Filipe Correia Silva.pdf</v>
      </c>
      <c r="O37" t="str">
        <f>IFERROR(INDEX(RX,ROW()-5),"")</f>
        <v/>
      </c>
      <c r="Q37" t="str">
        <f>IF(IFERROR(INDEX(MT,ROW()),"")&lt;&gt;"",1,"")</f>
        <v/>
      </c>
      <c r="T37" t="str">
        <f>IF(IFERROR(INDEX(PT,ROW()),"")&lt;&gt;"",1,"")</f>
        <v/>
      </c>
      <c r="W37" t="str">
        <f>IF(IFERROR(INDEX(RX,ROW()),"")&lt;&gt;"",1,"")</f>
        <v/>
      </c>
      <c r="Z37" t="str">
        <f>IF(IFERROR(INDEX(UT,ROW()),"")&lt;&gt;"",1,"")</f>
        <v/>
      </c>
      <c r="AC37" t="str">
        <f>IF(IFERROR(INDEX(VT,ROW()),"")&lt;&gt;"",1,"")</f>
        <v/>
      </c>
    </row>
    <row r="38" spans="1:29">
      <c r="A38" t="str">
        <f>IFERROR(INDEX(MT,ROW()-5),"")</f>
        <v/>
      </c>
      <c r="E38" t="str">
        <f>IFERROR(INDEX(PT,ROW()-5),"")</f>
        <v/>
      </c>
      <c r="F38">
        <f t="shared" si="1"/>
        <v>12</v>
      </c>
      <c r="G38">
        <f t="shared" ref="G38:J38" si="38">IFERROR(FIND("_",$L38,F38+1),"")</f>
        <v>15</v>
      </c>
      <c r="H38">
        <f t="shared" si="38"/>
        <v>18</v>
      </c>
      <c r="I38">
        <f t="shared" si="38"/>
        <v>26</v>
      </c>
      <c r="J38">
        <f t="shared" si="38"/>
        <v>37</v>
      </c>
      <c r="L3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9712_VT_II_END-970_20-05-2024_Francisco José Pereira Fernandes.pdf</v>
      </c>
      <c r="O38" t="str">
        <f>IFERROR(INDEX(RX,ROW()-5),"")</f>
        <v/>
      </c>
      <c r="Q38" t="str">
        <f>IF(IFERROR(INDEX(MT,ROW()),"")&lt;&gt;"",1,"")</f>
        <v/>
      </c>
      <c r="T38" t="str">
        <f>IF(IFERROR(INDEX(PT,ROW()),"")&lt;&gt;"",1,"")</f>
        <v/>
      </c>
      <c r="W38" t="str">
        <f>IF(IFERROR(INDEX(RX,ROW()),"")&lt;&gt;"",1,"")</f>
        <v/>
      </c>
      <c r="Z38" t="str">
        <f>IF(IFERROR(INDEX(UT,ROW()),"")&lt;&gt;"",1,"")</f>
        <v/>
      </c>
      <c r="AC38" t="str">
        <f>IF(IFERROR(INDEX(VT,ROW()),"")&lt;&gt;"",1,"")</f>
        <v/>
      </c>
    </row>
    <row r="39" spans="1:29">
      <c r="A39" t="str">
        <f>IFERROR(INDEX(MT,ROW()-5),"")</f>
        <v/>
      </c>
      <c r="E39" t="str">
        <f>IFERROR(INDEX(PT,ROW()-5),"")</f>
        <v/>
      </c>
      <c r="F39">
        <f t="shared" si="1"/>
        <v>12</v>
      </c>
      <c r="G39">
        <f t="shared" ref="G39:J39" si="39">IFERROR(FIND("_",$L39,F39+1),"")</f>
        <v>15</v>
      </c>
      <c r="H39">
        <f t="shared" si="39"/>
        <v>18</v>
      </c>
      <c r="I39">
        <f t="shared" si="39"/>
        <v>26</v>
      </c>
      <c r="J39">
        <f t="shared" si="39"/>
        <v>37</v>
      </c>
      <c r="L3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9712_VT_II_END-972_20-05-2024_Fernando Pinheiro da Costa.pdf</v>
      </c>
      <c r="O39" t="str">
        <f>IFERROR(INDEX(RX,ROW()-5),"")</f>
        <v/>
      </c>
      <c r="Q39" t="str">
        <f>IF(IFERROR(INDEX(MT,ROW()),"")&lt;&gt;"",1,"")</f>
        <v/>
      </c>
      <c r="T39" t="str">
        <f>IF(IFERROR(INDEX(PT,ROW()),"")&lt;&gt;"",1,"")</f>
        <v/>
      </c>
      <c r="W39" t="str">
        <f>IF(IFERROR(INDEX(RX,ROW()),"")&lt;&gt;"",1,"")</f>
        <v/>
      </c>
      <c r="Z39" t="str">
        <f>IF(IFERROR(INDEX(UT,ROW()),"")&lt;&gt;"",1,"")</f>
        <v/>
      </c>
      <c r="AC39" t="str">
        <f>IF(IFERROR(INDEX(VT,ROW()),"")&lt;&gt;"",1,"")</f>
        <v/>
      </c>
    </row>
    <row r="40" spans="1:29">
      <c r="A40" t="str">
        <f>IFERROR(INDEX(MT,ROW()-5),"")</f>
        <v/>
      </c>
      <c r="E40" t="str">
        <f>IFERROR(INDEX(PT,ROW()-5),"")</f>
        <v/>
      </c>
      <c r="F40">
        <f t="shared" si="1"/>
        <v>12</v>
      </c>
      <c r="G40">
        <f t="shared" ref="G40:J40" si="40">IFERROR(FIND("_",$L40,F40+1),"")</f>
        <v>15</v>
      </c>
      <c r="H40">
        <f t="shared" si="40"/>
        <v>18</v>
      </c>
      <c r="I40">
        <f t="shared" si="40"/>
        <v>26</v>
      </c>
      <c r="J40">
        <f t="shared" si="40"/>
        <v>37</v>
      </c>
      <c r="L4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>EN ISO 9712_VT_II_END-975_20-05-2024_Filipe Silva Melo Almeida.pdf</v>
      </c>
      <c r="O40" t="str">
        <f>IFERROR(INDEX(RX,ROW()-5),"")</f>
        <v/>
      </c>
      <c r="Q40" t="str">
        <f>IF(IFERROR(INDEX(MT,ROW()),"")&lt;&gt;"",1,"")</f>
        <v/>
      </c>
      <c r="T40" t="str">
        <f>IF(IFERROR(INDEX(PT,ROW()),"")&lt;&gt;"",1,"")</f>
        <v/>
      </c>
      <c r="W40" t="str">
        <f>IF(IFERROR(INDEX(RX,ROW()),"")&lt;&gt;"",1,"")</f>
        <v/>
      </c>
      <c r="Z40" t="str">
        <f>IF(IFERROR(INDEX(UT,ROW()),"")&lt;&gt;"",1,"")</f>
        <v/>
      </c>
      <c r="AC40" t="str">
        <f>IF(IFERROR(INDEX(VT,ROW()),"")&lt;&gt;"",1,"")</f>
        <v/>
      </c>
    </row>
    <row r="41" spans="1:29">
      <c r="A41" t="str">
        <f>IFERROR(INDEX(MT,ROW()-5),"")</f>
        <v/>
      </c>
      <c r="E41" t="str">
        <f>IFERROR(INDEX(PT,ROW()-5),"")</f>
        <v/>
      </c>
      <c r="F41" t="str">
        <f t="shared" si="1"/>
        <v/>
      </c>
      <c r="G41" t="str">
        <f t="shared" ref="G41:J41" si="41">IFERROR(FIND("_",$L41,F41+1),"")</f>
        <v/>
      </c>
      <c r="H41" t="str">
        <f t="shared" si="41"/>
        <v/>
      </c>
      <c r="I41" t="str">
        <f t="shared" si="41"/>
        <v/>
      </c>
      <c r="J41" t="str">
        <f t="shared" si="41"/>
        <v/>
      </c>
      <c r="L4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1" t="str">
        <f>IFERROR(INDEX(RX,ROW()-5),"")</f>
        <v/>
      </c>
      <c r="Q41" t="str">
        <f>IF(IFERROR(INDEX(MT,ROW()),"")&lt;&gt;"",1,"")</f>
        <v/>
      </c>
      <c r="T41" t="str">
        <f>IF(IFERROR(INDEX(PT,ROW()),"")&lt;&gt;"",1,"")</f>
        <v/>
      </c>
      <c r="W41" t="str">
        <f>IF(IFERROR(INDEX(RX,ROW()),"")&lt;&gt;"",1,"")</f>
        <v/>
      </c>
      <c r="Z41" t="str">
        <f>IF(IFERROR(INDEX(UT,ROW()),"")&lt;&gt;"",1,"")</f>
        <v/>
      </c>
      <c r="AC41" t="str">
        <f>IF(IFERROR(INDEX(VT,ROW()),"")&lt;&gt;"",1,"")</f>
        <v/>
      </c>
    </row>
    <row r="42" spans="1:29">
      <c r="A42" t="str">
        <f>IFERROR(INDEX(MT,ROW()-5),"")</f>
        <v/>
      </c>
      <c r="E42" t="str">
        <f>IFERROR(INDEX(PT,ROW()-5),"")</f>
        <v/>
      </c>
      <c r="F42" t="str">
        <f t="shared" si="1"/>
        <v/>
      </c>
      <c r="G42" t="str">
        <f t="shared" ref="G42:J42" si="42">IFERROR(FIND("_",$L42,F42+1),"")</f>
        <v/>
      </c>
      <c r="H42" t="str">
        <f t="shared" si="42"/>
        <v/>
      </c>
      <c r="I42" t="str">
        <f t="shared" si="42"/>
        <v/>
      </c>
      <c r="J42" t="str">
        <f t="shared" si="42"/>
        <v/>
      </c>
      <c r="L4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2" t="str">
        <f>IFERROR(INDEX(RX,ROW()-5),"")</f>
        <v/>
      </c>
      <c r="Q42" t="str">
        <f>IF(IFERROR(INDEX(MT,ROW()),"")&lt;&gt;"",1,"")</f>
        <v/>
      </c>
      <c r="T42" t="str">
        <f>IF(IFERROR(INDEX(PT,ROW()),"")&lt;&gt;"",1,"")</f>
        <v/>
      </c>
      <c r="W42" t="str">
        <f>IF(IFERROR(INDEX(RX,ROW()),"")&lt;&gt;"",1,"")</f>
        <v/>
      </c>
      <c r="Z42" t="str">
        <f>IF(IFERROR(INDEX(UT,ROW()),"")&lt;&gt;"",1,"")</f>
        <v/>
      </c>
      <c r="AC42" t="str">
        <f>IF(IFERROR(INDEX(VT,ROW()),"")&lt;&gt;"",1,"")</f>
        <v/>
      </c>
    </row>
    <row r="43" spans="1:29">
      <c r="A43" t="str">
        <f>IFERROR(INDEX(MT,ROW()-5),"")</f>
        <v/>
      </c>
      <c r="E43" t="str">
        <f>IFERROR(INDEX(PT,ROW()-5),"")</f>
        <v/>
      </c>
      <c r="F43" t="str">
        <f t="shared" si="1"/>
        <v/>
      </c>
      <c r="G43" t="str">
        <f t="shared" ref="G43:J43" si="43">IFERROR(FIND("_",$L43,F43+1),"")</f>
        <v/>
      </c>
      <c r="H43" t="str">
        <f t="shared" si="43"/>
        <v/>
      </c>
      <c r="I43" t="str">
        <f t="shared" si="43"/>
        <v/>
      </c>
      <c r="J43" t="str">
        <f t="shared" si="43"/>
        <v/>
      </c>
      <c r="L4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3" t="str">
        <f>IFERROR(INDEX(RX,ROW()-5),"")</f>
        <v/>
      </c>
      <c r="Q43" t="str">
        <f>IF(IFERROR(INDEX(MT,ROW()),"")&lt;&gt;"",1,"")</f>
        <v/>
      </c>
      <c r="T43" t="str">
        <f>IF(IFERROR(INDEX(PT,ROW()),"")&lt;&gt;"",1,"")</f>
        <v/>
      </c>
      <c r="W43" t="str">
        <f>IF(IFERROR(INDEX(RX,ROW()),"")&lt;&gt;"",1,"")</f>
        <v/>
      </c>
      <c r="Z43" t="str">
        <f>IF(IFERROR(INDEX(UT,ROW()),"")&lt;&gt;"",1,"")</f>
        <v/>
      </c>
      <c r="AC43" t="str">
        <f>IF(IFERROR(INDEX(VT,ROW()),"")&lt;&gt;"",1,"")</f>
        <v/>
      </c>
    </row>
    <row r="44" spans="1:29">
      <c r="A44" t="str">
        <f>IFERROR(INDEX(MT,ROW()-5),"")</f>
        <v/>
      </c>
      <c r="E44" t="str">
        <f>IFERROR(INDEX(PT,ROW()-5),"")</f>
        <v/>
      </c>
      <c r="F44" t="str">
        <f t="shared" si="1"/>
        <v/>
      </c>
      <c r="G44" t="str">
        <f t="shared" ref="G44:J44" si="44">IFERROR(FIND("_",$L44,F44+1),"")</f>
        <v/>
      </c>
      <c r="H44" t="str">
        <f t="shared" si="44"/>
        <v/>
      </c>
      <c r="I44" t="str">
        <f t="shared" si="44"/>
        <v/>
      </c>
      <c r="J44" t="str">
        <f t="shared" si="44"/>
        <v/>
      </c>
      <c r="L4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4" t="str">
        <f>IFERROR(INDEX(RX,ROW()-5),"")</f>
        <v/>
      </c>
      <c r="Q44" t="str">
        <f>IF(IFERROR(INDEX(MT,ROW()),"")&lt;&gt;"",1,"")</f>
        <v/>
      </c>
      <c r="T44" t="str">
        <f>IF(IFERROR(INDEX(PT,ROW()),"")&lt;&gt;"",1,"")</f>
        <v/>
      </c>
      <c r="W44" t="str">
        <f>IF(IFERROR(INDEX(RX,ROW()),"")&lt;&gt;"",1,"")</f>
        <v/>
      </c>
      <c r="Z44" t="str">
        <f>IF(IFERROR(INDEX(UT,ROW()),"")&lt;&gt;"",1,"")</f>
        <v/>
      </c>
      <c r="AC44" t="str">
        <f>IF(IFERROR(INDEX(VT,ROW()),"")&lt;&gt;"",1,"")</f>
        <v/>
      </c>
    </row>
    <row r="45" spans="1:29">
      <c r="A45" t="str">
        <f>IFERROR(INDEX(MT,ROW()-5),"")</f>
        <v/>
      </c>
      <c r="E45" t="str">
        <f>IFERROR(INDEX(PT,ROW()-5),"")</f>
        <v/>
      </c>
      <c r="F45" t="str">
        <f t="shared" si="1"/>
        <v/>
      </c>
      <c r="G45" t="str">
        <f t="shared" ref="G45:J45" si="45">IFERROR(FIND("_",$L45,F45+1),"")</f>
        <v/>
      </c>
      <c r="H45" t="str">
        <f t="shared" si="45"/>
        <v/>
      </c>
      <c r="I45" t="str">
        <f t="shared" si="45"/>
        <v/>
      </c>
      <c r="J45" t="str">
        <f t="shared" si="45"/>
        <v/>
      </c>
      <c r="L4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5" t="str">
        <f>IFERROR(INDEX(RX,ROW()-5),"")</f>
        <v/>
      </c>
      <c r="Q45" t="str">
        <f>IF(IFERROR(INDEX(MT,ROW()),"")&lt;&gt;"",1,"")</f>
        <v/>
      </c>
      <c r="T45" t="str">
        <f>IF(IFERROR(INDEX(PT,ROW()),"")&lt;&gt;"",1,"")</f>
        <v/>
      </c>
      <c r="W45" t="str">
        <f>IF(IFERROR(INDEX(RX,ROW()),"")&lt;&gt;"",1,"")</f>
        <v/>
      </c>
      <c r="Z45" t="str">
        <f>IF(IFERROR(INDEX(UT,ROW()),"")&lt;&gt;"",1,"")</f>
        <v/>
      </c>
      <c r="AC45" t="str">
        <f>IF(IFERROR(INDEX(VT,ROW()),"")&lt;&gt;"",1,"")</f>
        <v/>
      </c>
    </row>
    <row r="46" spans="1:29">
      <c r="A46" t="str">
        <f>IFERROR(INDEX(MT,ROW()-5),"")</f>
        <v/>
      </c>
      <c r="E46" t="str">
        <f>IFERROR(INDEX(PT,ROW()-5),"")</f>
        <v/>
      </c>
      <c r="F46" t="str">
        <f t="shared" si="1"/>
        <v/>
      </c>
      <c r="G46" t="str">
        <f t="shared" ref="G46:J46" si="46">IFERROR(FIND("_",$L46,F46+1),"")</f>
        <v/>
      </c>
      <c r="H46" t="str">
        <f t="shared" si="46"/>
        <v/>
      </c>
      <c r="I46" t="str">
        <f t="shared" si="46"/>
        <v/>
      </c>
      <c r="J46" t="str">
        <f t="shared" si="46"/>
        <v/>
      </c>
      <c r="L4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6" t="str">
        <f>IFERROR(INDEX(RX,ROW()-5),"")</f>
        <v/>
      </c>
      <c r="Q46" t="str">
        <f>IF(IFERROR(INDEX(MT,ROW()),"")&lt;&gt;"",1,"")</f>
        <v/>
      </c>
      <c r="T46" t="str">
        <f>IF(IFERROR(INDEX(PT,ROW()),"")&lt;&gt;"",1,"")</f>
        <v/>
      </c>
      <c r="W46" t="str">
        <f>IF(IFERROR(INDEX(RX,ROW()),"")&lt;&gt;"",1,"")</f>
        <v/>
      </c>
      <c r="Z46" t="str">
        <f>IF(IFERROR(INDEX(UT,ROW()),"")&lt;&gt;"",1,"")</f>
        <v/>
      </c>
      <c r="AC46" t="str">
        <f>IF(IFERROR(INDEX(VT,ROW()),"")&lt;&gt;"",1,"")</f>
        <v/>
      </c>
    </row>
    <row r="47" spans="1:29">
      <c r="A47" t="str">
        <f>IFERROR(INDEX(MT,ROW()-5),"")</f>
        <v/>
      </c>
      <c r="E47" t="str">
        <f>IFERROR(INDEX(PT,ROW()-5),"")</f>
        <v/>
      </c>
      <c r="F47" t="str">
        <f t="shared" si="1"/>
        <v/>
      </c>
      <c r="G47" t="str">
        <f t="shared" ref="G47:J47" si="47">IFERROR(FIND("_",$L47,F47+1),"")</f>
        <v/>
      </c>
      <c r="H47" t="str">
        <f t="shared" si="47"/>
        <v/>
      </c>
      <c r="I47" t="str">
        <f t="shared" si="47"/>
        <v/>
      </c>
      <c r="J47" t="str">
        <f t="shared" si="47"/>
        <v/>
      </c>
      <c r="L4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7" t="str">
        <f>IFERROR(INDEX(RX,ROW()-5),"")</f>
        <v/>
      </c>
      <c r="Q47" t="str">
        <f>IF(IFERROR(INDEX(MT,ROW()),"")&lt;&gt;"",1,"")</f>
        <v/>
      </c>
      <c r="T47" t="str">
        <f>IF(IFERROR(INDEX(PT,ROW()),"")&lt;&gt;"",1,"")</f>
        <v/>
      </c>
      <c r="W47" t="str">
        <f>IF(IFERROR(INDEX(RX,ROW()),"")&lt;&gt;"",1,"")</f>
        <v/>
      </c>
      <c r="Z47" t="str">
        <f>IF(IFERROR(INDEX(UT,ROW()),"")&lt;&gt;"",1,"")</f>
        <v/>
      </c>
      <c r="AC47" t="str">
        <f>IF(IFERROR(INDEX(VT,ROW()),"")&lt;&gt;"",1,"")</f>
        <v/>
      </c>
    </row>
    <row r="48" spans="1:29">
      <c r="A48" t="str">
        <f>IFERROR(INDEX(MT,ROW()-5),"")</f>
        <v/>
      </c>
      <c r="E48" t="str">
        <f>IFERROR(INDEX(PT,ROW()-5),"")</f>
        <v/>
      </c>
      <c r="F48" t="str">
        <f t="shared" si="1"/>
        <v/>
      </c>
      <c r="G48" t="str">
        <f t="shared" ref="G48:J48" si="48">IFERROR(FIND("_",$L48,F48+1),"")</f>
        <v/>
      </c>
      <c r="H48" t="str">
        <f t="shared" si="48"/>
        <v/>
      </c>
      <c r="I48" t="str">
        <f t="shared" si="48"/>
        <v/>
      </c>
      <c r="J48" t="str">
        <f t="shared" si="48"/>
        <v/>
      </c>
      <c r="L4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8" t="str">
        <f>IFERROR(INDEX(RX,ROW()-5),"")</f>
        <v/>
      </c>
      <c r="Q48" t="str">
        <f>IF(IFERROR(INDEX(MT,ROW()),"")&lt;&gt;"",1,"")</f>
        <v/>
      </c>
      <c r="T48" t="str">
        <f>IF(IFERROR(INDEX(PT,ROW()),"")&lt;&gt;"",1,"")</f>
        <v/>
      </c>
      <c r="W48" t="str">
        <f>IF(IFERROR(INDEX(RX,ROW()),"")&lt;&gt;"",1,"")</f>
        <v/>
      </c>
      <c r="Z48" t="str">
        <f>IF(IFERROR(INDEX(UT,ROW()),"")&lt;&gt;"",1,"")</f>
        <v/>
      </c>
      <c r="AC48" t="str">
        <f>IF(IFERROR(INDEX(VT,ROW()),"")&lt;&gt;"",1,"")</f>
        <v/>
      </c>
    </row>
    <row r="49" spans="1:29">
      <c r="A49" t="str">
        <f>IFERROR(INDEX(MT,ROW()-5),"")</f>
        <v/>
      </c>
      <c r="E49" t="str">
        <f>IFERROR(INDEX(PT,ROW()-5),"")</f>
        <v/>
      </c>
      <c r="F49" t="str">
        <f t="shared" si="1"/>
        <v/>
      </c>
      <c r="G49" t="str">
        <f t="shared" ref="G49:J49" si="49">IFERROR(FIND("_",$L49,F49+1),"")</f>
        <v/>
      </c>
      <c r="H49" t="str">
        <f t="shared" si="49"/>
        <v/>
      </c>
      <c r="I49" t="str">
        <f t="shared" si="49"/>
        <v/>
      </c>
      <c r="J49" t="str">
        <f t="shared" si="49"/>
        <v/>
      </c>
      <c r="L4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49" t="str">
        <f>IFERROR(INDEX(RX,ROW()-5),"")</f>
        <v/>
      </c>
      <c r="Q49" t="str">
        <f>IF(IFERROR(INDEX(MT,ROW()),"")&lt;&gt;"",1,"")</f>
        <v/>
      </c>
      <c r="T49" t="str">
        <f>IF(IFERROR(INDEX(PT,ROW()),"")&lt;&gt;"",1,"")</f>
        <v/>
      </c>
      <c r="W49" t="str">
        <f>IF(IFERROR(INDEX(RX,ROW()),"")&lt;&gt;"",1,"")</f>
        <v/>
      </c>
      <c r="Z49" t="str">
        <f>IF(IFERROR(INDEX(UT,ROW()),"")&lt;&gt;"",1,"")</f>
        <v/>
      </c>
      <c r="AC49" t="str">
        <f>IF(IFERROR(INDEX(VT,ROW()),"")&lt;&gt;"",1,"")</f>
        <v/>
      </c>
    </row>
    <row r="50" spans="1:29">
      <c r="A50" t="str">
        <f>IFERROR(INDEX(MT,ROW()-5),"")</f>
        <v/>
      </c>
      <c r="E50" t="str">
        <f>IFERROR(INDEX(PT,ROW()-5),"")</f>
        <v/>
      </c>
      <c r="F50" t="str">
        <f t="shared" si="1"/>
        <v/>
      </c>
      <c r="G50" t="str">
        <f t="shared" ref="G50:J50" si="50">IFERROR(FIND("_",$L50,F50+1),"")</f>
        <v/>
      </c>
      <c r="H50" t="str">
        <f t="shared" si="50"/>
        <v/>
      </c>
      <c r="I50" t="str">
        <f t="shared" si="50"/>
        <v/>
      </c>
      <c r="J50" t="str">
        <f t="shared" si="50"/>
        <v/>
      </c>
      <c r="L5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0" t="str">
        <f>IFERROR(INDEX(RX,ROW()-5),"")</f>
        <v/>
      </c>
      <c r="Q50" t="str">
        <f>IF(IFERROR(INDEX(MT,ROW()),"")&lt;&gt;"",1,"")</f>
        <v/>
      </c>
      <c r="T50" t="str">
        <f>IF(IFERROR(INDEX(PT,ROW()),"")&lt;&gt;"",1,"")</f>
        <v/>
      </c>
      <c r="W50" t="str">
        <f>IF(IFERROR(INDEX(RX,ROW()),"")&lt;&gt;"",1,"")</f>
        <v/>
      </c>
      <c r="Z50" t="str">
        <f>IF(IFERROR(INDEX(UT,ROW()),"")&lt;&gt;"",1,"")</f>
        <v/>
      </c>
      <c r="AC50" t="str">
        <f>IF(IFERROR(INDEX(VT,ROW()),"")&lt;&gt;"",1,"")</f>
        <v/>
      </c>
    </row>
    <row r="51" spans="1:29">
      <c r="A51" t="str">
        <f>IFERROR(INDEX(MT,ROW()-5),"")</f>
        <v/>
      </c>
      <c r="E51" t="str">
        <f>IFERROR(INDEX(PT,ROW()-5),"")</f>
        <v/>
      </c>
      <c r="F51" t="str">
        <f t="shared" si="1"/>
        <v/>
      </c>
      <c r="G51" t="str">
        <f t="shared" ref="G51:J51" si="51">IFERROR(FIND("_",$L51,F51+1),"")</f>
        <v/>
      </c>
      <c r="H51" t="str">
        <f t="shared" si="51"/>
        <v/>
      </c>
      <c r="I51" t="str">
        <f t="shared" si="51"/>
        <v/>
      </c>
      <c r="J51" t="str">
        <f t="shared" si="51"/>
        <v/>
      </c>
      <c r="L5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1" t="str">
        <f>IFERROR(INDEX(RX,ROW()-5),"")</f>
        <v/>
      </c>
      <c r="Q51" t="str">
        <f>IF(IFERROR(INDEX(MT,ROW()),"")&lt;&gt;"",1,"")</f>
        <v/>
      </c>
      <c r="T51" t="str">
        <f>IF(IFERROR(INDEX(PT,ROW()),"")&lt;&gt;"",1,"")</f>
        <v/>
      </c>
      <c r="W51" t="str">
        <f>IF(IFERROR(INDEX(RX,ROW()),"")&lt;&gt;"",1,"")</f>
        <v/>
      </c>
      <c r="Z51" t="str">
        <f>IF(IFERROR(INDEX(UT,ROW()),"")&lt;&gt;"",1,"")</f>
        <v/>
      </c>
      <c r="AC51" t="str">
        <f>IF(IFERROR(INDEX(VT,ROW()),"")&lt;&gt;"",1,"")</f>
        <v/>
      </c>
    </row>
    <row r="52" spans="1:29">
      <c r="A52" t="str">
        <f>IFERROR(INDEX(MT,ROW()-5),"")</f>
        <v/>
      </c>
      <c r="E52" t="str">
        <f>IFERROR(INDEX(PT,ROW()-5),"")</f>
        <v/>
      </c>
      <c r="F52" t="str">
        <f t="shared" si="1"/>
        <v/>
      </c>
      <c r="G52" t="str">
        <f t="shared" ref="G52:J52" si="52">IFERROR(FIND("_",$L52,F52+1),"")</f>
        <v/>
      </c>
      <c r="H52" t="str">
        <f t="shared" si="52"/>
        <v/>
      </c>
      <c r="I52" t="str">
        <f t="shared" si="52"/>
        <v/>
      </c>
      <c r="J52" t="str">
        <f t="shared" si="52"/>
        <v/>
      </c>
      <c r="L5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2" t="str">
        <f>IFERROR(INDEX(RX,ROW()-5),"")</f>
        <v/>
      </c>
      <c r="Q52" t="str">
        <f>IF(IFERROR(INDEX(MT,ROW()),"")&lt;&gt;"",1,"")</f>
        <v/>
      </c>
      <c r="T52" t="str">
        <f>IF(IFERROR(INDEX(PT,ROW()),"")&lt;&gt;"",1,"")</f>
        <v/>
      </c>
      <c r="W52" t="str">
        <f>IF(IFERROR(INDEX(RX,ROW()),"")&lt;&gt;"",1,"")</f>
        <v/>
      </c>
      <c r="Z52" t="str">
        <f>IF(IFERROR(INDEX(UT,ROW()),"")&lt;&gt;"",1,"")</f>
        <v/>
      </c>
      <c r="AC52" t="str">
        <f>IF(IFERROR(INDEX(VT,ROW()),"")&lt;&gt;"",1,"")</f>
        <v/>
      </c>
    </row>
    <row r="53" spans="1:29">
      <c r="A53" t="str">
        <f>IFERROR(INDEX(MT,ROW()-5),"")</f>
        <v/>
      </c>
      <c r="E53" t="str">
        <f>IFERROR(INDEX(PT,ROW()-5),"")</f>
        <v/>
      </c>
      <c r="F53" t="str">
        <f t="shared" si="1"/>
        <v/>
      </c>
      <c r="G53" t="str">
        <f t="shared" ref="G53:J53" si="53">IFERROR(FIND("_",$L53,F53+1),"")</f>
        <v/>
      </c>
      <c r="H53" t="str">
        <f t="shared" si="53"/>
        <v/>
      </c>
      <c r="I53" t="str">
        <f t="shared" si="53"/>
        <v/>
      </c>
      <c r="J53" t="str">
        <f t="shared" si="53"/>
        <v/>
      </c>
      <c r="L5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3" t="str">
        <f>IFERROR(INDEX(RX,ROW()-5),"")</f>
        <v/>
      </c>
      <c r="Q53" t="str">
        <f>IF(IFERROR(INDEX(MT,ROW()),"")&lt;&gt;"",1,"")</f>
        <v/>
      </c>
    </row>
    <row r="54" spans="1:29">
      <c r="A54" t="str">
        <f>IFERROR(INDEX(MT,ROW()-5),"")</f>
        <v/>
      </c>
      <c r="E54" t="str">
        <f>IFERROR(INDEX(PT,ROW()-5),"")</f>
        <v/>
      </c>
      <c r="F54" t="str">
        <f t="shared" si="1"/>
        <v/>
      </c>
      <c r="G54" t="str">
        <f t="shared" ref="G54:J54" si="54">IFERROR(FIND("_",$L54,F54+1),"")</f>
        <v/>
      </c>
      <c r="H54" t="str">
        <f t="shared" si="54"/>
        <v/>
      </c>
      <c r="I54" t="str">
        <f t="shared" si="54"/>
        <v/>
      </c>
      <c r="J54" t="str">
        <f t="shared" si="54"/>
        <v/>
      </c>
      <c r="L5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4" t="str">
        <f>IFERROR(INDEX(RX,ROW()-5),"")</f>
        <v/>
      </c>
      <c r="Q54" t="str">
        <f>IF(IFERROR(INDEX(MT,ROW()),"")&lt;&gt;"",1,"")</f>
        <v/>
      </c>
    </row>
    <row r="55" spans="1:29">
      <c r="A55" t="str">
        <f>IFERROR(INDEX(MT,ROW()-5),"")</f>
        <v/>
      </c>
      <c r="E55" t="str">
        <f>IFERROR(INDEX(PT,ROW()-5),"")</f>
        <v/>
      </c>
      <c r="F55" t="str">
        <f t="shared" si="1"/>
        <v/>
      </c>
      <c r="G55" t="str">
        <f t="shared" ref="G55:J55" si="55">IFERROR(FIND("_",$L55,F55+1),"")</f>
        <v/>
      </c>
      <c r="H55" t="str">
        <f t="shared" si="55"/>
        <v/>
      </c>
      <c r="I55" t="str">
        <f t="shared" si="55"/>
        <v/>
      </c>
      <c r="J55" t="str">
        <f t="shared" si="55"/>
        <v/>
      </c>
      <c r="L5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5" t="str">
        <f>IFERROR(INDEX(RX,ROW()-5),"")</f>
        <v/>
      </c>
      <c r="Q55" t="str">
        <f>IF(IFERROR(INDEX(MT,ROW()),"")&lt;&gt;"",1,"")</f>
        <v/>
      </c>
    </row>
    <row r="56" spans="1:29">
      <c r="A56" t="str">
        <f>IFERROR(INDEX(MT,ROW()-5),"")</f>
        <v/>
      </c>
      <c r="E56" t="str">
        <f>IFERROR(INDEX(PT,ROW()-5),"")</f>
        <v/>
      </c>
      <c r="F56" t="str">
        <f t="shared" si="1"/>
        <v/>
      </c>
      <c r="G56" t="str">
        <f t="shared" ref="G56:J56" si="56">IFERROR(FIND("_",$L56,F56+1),"")</f>
        <v/>
      </c>
      <c r="H56" t="str">
        <f t="shared" si="56"/>
        <v/>
      </c>
      <c r="I56" t="str">
        <f t="shared" si="56"/>
        <v/>
      </c>
      <c r="J56" t="str">
        <f t="shared" si="56"/>
        <v/>
      </c>
      <c r="L5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6" t="str">
        <f>IFERROR(INDEX(RX,ROW()-5),"")</f>
        <v/>
      </c>
      <c r="Q56" t="str">
        <f>IF(IFERROR(INDEX(MT,ROW()),"")&lt;&gt;"",1,"")</f>
        <v/>
      </c>
    </row>
    <row r="57" spans="1:29">
      <c r="A57" t="str">
        <f>IFERROR(INDEX(MT,ROW()-5),"")</f>
        <v/>
      </c>
      <c r="E57" t="str">
        <f>IFERROR(INDEX(PT,ROW()-5),"")</f>
        <v/>
      </c>
      <c r="F57" t="str">
        <f t="shared" si="1"/>
        <v/>
      </c>
      <c r="G57" t="str">
        <f t="shared" ref="G57:J57" si="57">IFERROR(FIND("_",$L57,F57+1),"")</f>
        <v/>
      </c>
      <c r="H57" t="str">
        <f t="shared" si="57"/>
        <v/>
      </c>
      <c r="I57" t="str">
        <f t="shared" si="57"/>
        <v/>
      </c>
      <c r="J57" t="str">
        <f t="shared" si="57"/>
        <v/>
      </c>
      <c r="L5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7" t="str">
        <f>IFERROR(INDEX(RX,ROW()-5),"")</f>
        <v/>
      </c>
      <c r="Q57" t="str">
        <f>IF(IFERROR(INDEX(MT,ROW()),"")&lt;&gt;"",1,"")</f>
        <v/>
      </c>
    </row>
    <row r="58" spans="1:29">
      <c r="A58" t="str">
        <f>IFERROR(INDEX(MT,ROW()-5),"")</f>
        <v/>
      </c>
      <c r="E58" t="str">
        <f>IFERROR(INDEX(PT,ROW()-5),"")</f>
        <v/>
      </c>
      <c r="F58" t="str">
        <f t="shared" si="1"/>
        <v/>
      </c>
      <c r="G58" t="str">
        <f t="shared" ref="G58:J58" si="58">IFERROR(FIND("_",$L58,F58+1),"")</f>
        <v/>
      </c>
      <c r="H58" t="str">
        <f t="shared" si="58"/>
        <v/>
      </c>
      <c r="I58" t="str">
        <f t="shared" si="58"/>
        <v/>
      </c>
      <c r="J58" t="str">
        <f t="shared" si="58"/>
        <v/>
      </c>
      <c r="L5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8" t="str">
        <f>IFERROR(INDEX(RX,ROW()-5),"")</f>
        <v/>
      </c>
      <c r="Q58" t="str">
        <f>IF(IFERROR(INDEX(MT,ROW()),"")&lt;&gt;"",1,"")</f>
        <v/>
      </c>
    </row>
    <row r="59" spans="1:29">
      <c r="A59" t="str">
        <f>IFERROR(INDEX(MT,ROW()-5),"")</f>
        <v/>
      </c>
      <c r="E59" t="str">
        <f>IFERROR(INDEX(PT,ROW()-5),"")</f>
        <v/>
      </c>
      <c r="F59" t="str">
        <f t="shared" si="1"/>
        <v/>
      </c>
      <c r="G59" t="str">
        <f t="shared" ref="G59:J59" si="59">IFERROR(FIND("_",$L59,F59+1),"")</f>
        <v/>
      </c>
      <c r="H59" t="str">
        <f t="shared" si="59"/>
        <v/>
      </c>
      <c r="I59" t="str">
        <f t="shared" si="59"/>
        <v/>
      </c>
      <c r="J59" t="str">
        <f t="shared" si="59"/>
        <v/>
      </c>
      <c r="L5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59" t="str">
        <f>IFERROR(INDEX(RX,ROW()-5),"")</f>
        <v/>
      </c>
      <c r="Q59" t="str">
        <f>IF(IFERROR(INDEX(MT,ROW()),"")&lt;&gt;"",1,"")</f>
        <v/>
      </c>
    </row>
    <row r="60" spans="1:29">
      <c r="A60" t="str">
        <f>IFERROR(INDEX(MT,ROW()-5),"")</f>
        <v/>
      </c>
      <c r="E60" t="str">
        <f>IFERROR(INDEX(PT,ROW()-5),"")</f>
        <v/>
      </c>
      <c r="F60" t="str">
        <f t="shared" si="1"/>
        <v/>
      </c>
      <c r="G60" t="str">
        <f t="shared" ref="G60:J60" si="60">IFERROR(FIND("_",$L60,F60+1),"")</f>
        <v/>
      </c>
      <c r="H60" t="str">
        <f t="shared" si="60"/>
        <v/>
      </c>
      <c r="I60" t="str">
        <f t="shared" si="60"/>
        <v/>
      </c>
      <c r="J60" t="str">
        <f t="shared" si="60"/>
        <v/>
      </c>
      <c r="L6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0" t="str">
        <f>IFERROR(INDEX(RX,ROW()-5),"")</f>
        <v/>
      </c>
      <c r="Q60" t="str">
        <f>IF(IFERROR(INDEX(MT,ROW()),"")&lt;&gt;"",1,"")</f>
        <v/>
      </c>
    </row>
    <row r="61" spans="1:29">
      <c r="A61" t="str">
        <f>IFERROR(INDEX(MT,ROW()-5),"")</f>
        <v/>
      </c>
      <c r="E61" t="str">
        <f>IFERROR(INDEX(PT,ROW()-5),"")</f>
        <v/>
      </c>
      <c r="F61" t="str">
        <f t="shared" si="1"/>
        <v/>
      </c>
      <c r="G61" t="str">
        <f t="shared" ref="G61:J61" si="61">IFERROR(FIND("_",$L61,F61+1),"")</f>
        <v/>
      </c>
      <c r="H61" t="str">
        <f t="shared" si="61"/>
        <v/>
      </c>
      <c r="I61" t="str">
        <f t="shared" si="61"/>
        <v/>
      </c>
      <c r="J61" t="str">
        <f t="shared" si="61"/>
        <v/>
      </c>
      <c r="L6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1" t="str">
        <f>IFERROR(INDEX(RX,ROW()-5),"")</f>
        <v/>
      </c>
      <c r="Q61" t="str">
        <f>IF(IFERROR(INDEX(MT,ROW()),"")&lt;&gt;"",1,"")</f>
        <v/>
      </c>
    </row>
    <row r="62" spans="1:29">
      <c r="A62" t="str">
        <f>IFERROR(INDEX(MT,ROW()-5),"")</f>
        <v/>
      </c>
      <c r="E62" t="str">
        <f>IFERROR(INDEX(PT,ROW()-5),"")</f>
        <v/>
      </c>
      <c r="F62" t="str">
        <f t="shared" si="1"/>
        <v/>
      </c>
      <c r="G62" t="str">
        <f t="shared" ref="G62:J62" si="62">IFERROR(FIND("_",$L62,F62+1),"")</f>
        <v/>
      </c>
      <c r="H62" t="str">
        <f t="shared" si="62"/>
        <v/>
      </c>
      <c r="I62" t="str">
        <f t="shared" si="62"/>
        <v/>
      </c>
      <c r="J62" t="str">
        <f t="shared" si="62"/>
        <v/>
      </c>
      <c r="L6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2" t="str">
        <f>IFERROR(INDEX(RX,ROW()-5),"")</f>
        <v/>
      </c>
      <c r="Q62" t="str">
        <f>IF(IFERROR(INDEX(MT,ROW()),"")&lt;&gt;"",1,"")</f>
        <v/>
      </c>
    </row>
    <row r="63" spans="1:29">
      <c r="A63" t="str">
        <f>IFERROR(INDEX(MT,ROW()-5),"")</f>
        <v/>
      </c>
      <c r="E63" t="str">
        <f>IFERROR(INDEX(PT,ROW()-5),"")</f>
        <v/>
      </c>
      <c r="F63" t="str">
        <f t="shared" si="1"/>
        <v/>
      </c>
      <c r="G63" t="str">
        <f t="shared" ref="G63:J63" si="63">IFERROR(FIND("_",$L63,F63+1),"")</f>
        <v/>
      </c>
      <c r="H63" t="str">
        <f t="shared" si="63"/>
        <v/>
      </c>
      <c r="I63" t="str">
        <f t="shared" si="63"/>
        <v/>
      </c>
      <c r="J63" t="str">
        <f t="shared" si="63"/>
        <v/>
      </c>
      <c r="L6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3" t="str">
        <f>IFERROR(INDEX(RX,ROW()-5),"")</f>
        <v/>
      </c>
      <c r="Q63" t="str">
        <f>IF(IFERROR(INDEX(MT,ROW()),"")&lt;&gt;"",1,"")</f>
        <v/>
      </c>
    </row>
    <row r="64" spans="1:29">
      <c r="A64" t="str">
        <f>IFERROR(INDEX(MT,ROW()-5),"")</f>
        <v/>
      </c>
      <c r="E64" t="str">
        <f>IFERROR(INDEX(PT,ROW()-5),"")</f>
        <v/>
      </c>
      <c r="F64" t="str">
        <f t="shared" si="1"/>
        <v/>
      </c>
      <c r="G64" t="str">
        <f t="shared" ref="G64:J64" si="64">IFERROR(FIND("_",$L64,F64+1),"")</f>
        <v/>
      </c>
      <c r="H64" t="str">
        <f t="shared" si="64"/>
        <v/>
      </c>
      <c r="I64" t="str">
        <f t="shared" si="64"/>
        <v/>
      </c>
      <c r="J64" t="str">
        <f t="shared" si="64"/>
        <v/>
      </c>
      <c r="L6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4" t="str">
        <f>IFERROR(INDEX(RX,ROW()-5),"")</f>
        <v/>
      </c>
      <c r="Q64" t="str">
        <f>IF(IFERROR(INDEX(MT,ROW()),"")&lt;&gt;"",1,"")</f>
        <v/>
      </c>
    </row>
    <row r="65" spans="1:17">
      <c r="A65" t="str">
        <f>IFERROR(INDEX(MT,ROW()-5),"")</f>
        <v/>
      </c>
      <c r="E65" t="str">
        <f>IFERROR(INDEX(PT,ROW()-5),"")</f>
        <v/>
      </c>
      <c r="F65" t="str">
        <f t="shared" si="1"/>
        <v/>
      </c>
      <c r="G65" t="str">
        <f t="shared" ref="G65:J65" si="65">IFERROR(FIND("_",$L65,F65+1),"")</f>
        <v/>
      </c>
      <c r="H65" t="str">
        <f t="shared" si="65"/>
        <v/>
      </c>
      <c r="I65" t="str">
        <f t="shared" si="65"/>
        <v/>
      </c>
      <c r="J65" t="str">
        <f t="shared" si="65"/>
        <v/>
      </c>
      <c r="L6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5" t="str">
        <f>IFERROR(INDEX(RX,ROW()-5),"")</f>
        <v/>
      </c>
      <c r="Q65" t="str">
        <f>IF(IFERROR(INDEX(MT,ROW()),"")&lt;&gt;"",1,"")</f>
        <v/>
      </c>
    </row>
    <row r="66" spans="1:17">
      <c r="A66" t="str">
        <f>IFERROR(INDEX(MT,ROW()-5),"")</f>
        <v/>
      </c>
      <c r="E66" t="str">
        <f>IFERROR(INDEX(PT,ROW()-5),"")</f>
        <v/>
      </c>
      <c r="F66" t="str">
        <f t="shared" ref="F66:F100" si="66">IFERROR(FIND("_",$L66,1),"")</f>
        <v/>
      </c>
      <c r="G66" t="str">
        <f t="shared" ref="G66:J66" si="67">IFERROR(FIND("_",$L66,F66+1),"")</f>
        <v/>
      </c>
      <c r="H66" t="str">
        <f t="shared" si="67"/>
        <v/>
      </c>
      <c r="I66" t="str">
        <f t="shared" si="67"/>
        <v/>
      </c>
      <c r="J66" t="str">
        <f t="shared" si="67"/>
        <v/>
      </c>
      <c r="L6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6" t="str">
        <f>IFERROR(INDEX(RX,ROW()-5),"")</f>
        <v/>
      </c>
    </row>
    <row r="67" spans="1:17">
      <c r="A67" t="str">
        <f>IFERROR(INDEX(MT,ROW()-5),"")</f>
        <v/>
      </c>
      <c r="E67" t="str">
        <f>IFERROR(INDEX(PT,ROW()-5),"")</f>
        <v/>
      </c>
      <c r="F67" t="str">
        <f t="shared" si="66"/>
        <v/>
      </c>
      <c r="G67" t="str">
        <f t="shared" ref="G67:J67" si="68">IFERROR(FIND("_",$L67,F67+1),"")</f>
        <v/>
      </c>
      <c r="H67" t="str">
        <f t="shared" si="68"/>
        <v/>
      </c>
      <c r="I67" t="str">
        <f t="shared" si="68"/>
        <v/>
      </c>
      <c r="J67" t="str">
        <f t="shared" si="68"/>
        <v/>
      </c>
      <c r="L6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7" t="str">
        <f>IFERROR(INDEX(RX,ROW()-5),"")</f>
        <v/>
      </c>
    </row>
    <row r="68" spans="1:17">
      <c r="A68" t="str">
        <f>IFERROR(INDEX(MT,ROW()-5),"")</f>
        <v/>
      </c>
      <c r="E68" t="str">
        <f>IFERROR(INDEX(PT,ROW()-5),"")</f>
        <v/>
      </c>
      <c r="F68" t="str">
        <f t="shared" si="66"/>
        <v/>
      </c>
      <c r="G68" t="str">
        <f t="shared" ref="G68:J68" si="69">IFERROR(FIND("_",$L68,F68+1),"")</f>
        <v/>
      </c>
      <c r="H68" t="str">
        <f t="shared" si="69"/>
        <v/>
      </c>
      <c r="I68" t="str">
        <f t="shared" si="69"/>
        <v/>
      </c>
      <c r="J68" t="str">
        <f t="shared" si="69"/>
        <v/>
      </c>
      <c r="L6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8" t="str">
        <f>IFERROR(INDEX(RX,ROW()-5),"")</f>
        <v/>
      </c>
    </row>
    <row r="69" spans="1:17">
      <c r="A69" t="str">
        <f>IFERROR(INDEX(MT,ROW()-5),"")</f>
        <v/>
      </c>
      <c r="E69" t="str">
        <f>IFERROR(INDEX(PT,ROW()-5),"")</f>
        <v/>
      </c>
      <c r="F69" t="str">
        <f t="shared" si="66"/>
        <v/>
      </c>
      <c r="G69" t="str">
        <f t="shared" ref="G69:J69" si="70">IFERROR(FIND("_",$L69,F69+1),"")</f>
        <v/>
      </c>
      <c r="H69" t="str">
        <f t="shared" si="70"/>
        <v/>
      </c>
      <c r="I69" t="str">
        <f t="shared" si="70"/>
        <v/>
      </c>
      <c r="J69" t="str">
        <f t="shared" si="70"/>
        <v/>
      </c>
      <c r="L6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69" t="str">
        <f>IFERROR(INDEX(RX,ROW()-5),"")</f>
        <v/>
      </c>
    </row>
    <row r="70" spans="1:17">
      <c r="A70" t="str">
        <f>IFERROR(INDEX(MT,ROW()-5),"")</f>
        <v/>
      </c>
      <c r="E70" t="str">
        <f>IFERROR(INDEX(PT,ROW()-5),"")</f>
        <v/>
      </c>
      <c r="F70" t="str">
        <f t="shared" si="66"/>
        <v/>
      </c>
      <c r="G70" t="str">
        <f t="shared" ref="G70:J70" si="71">IFERROR(FIND("_",$L70,F70+1),"")</f>
        <v/>
      </c>
      <c r="H70" t="str">
        <f t="shared" si="71"/>
        <v/>
      </c>
      <c r="I70" t="str">
        <f t="shared" si="71"/>
        <v/>
      </c>
      <c r="J70" t="str">
        <f t="shared" si="71"/>
        <v/>
      </c>
      <c r="L7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0" t="str">
        <f>IFERROR(INDEX(RX,ROW()-5),"")</f>
        <v/>
      </c>
    </row>
    <row r="71" spans="1:17">
      <c r="A71" t="str">
        <f>IFERROR(INDEX(MT,ROW()-5),"")</f>
        <v/>
      </c>
      <c r="E71" t="str">
        <f>IFERROR(INDEX(PT,ROW()-5),"")</f>
        <v/>
      </c>
      <c r="F71" t="str">
        <f t="shared" si="66"/>
        <v/>
      </c>
      <c r="G71" t="str">
        <f t="shared" ref="G71:J71" si="72">IFERROR(FIND("_",$L71,F71+1),"")</f>
        <v/>
      </c>
      <c r="H71" t="str">
        <f t="shared" si="72"/>
        <v/>
      </c>
      <c r="I71" t="str">
        <f t="shared" si="72"/>
        <v/>
      </c>
      <c r="J71" t="str">
        <f t="shared" si="72"/>
        <v/>
      </c>
      <c r="L7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1" t="str">
        <f>IFERROR(INDEX(RX,ROW()-5),"")</f>
        <v/>
      </c>
    </row>
    <row r="72" spans="1:17">
      <c r="A72" t="str">
        <f>IFERROR(INDEX(MT,ROW()-5),"")</f>
        <v/>
      </c>
      <c r="E72" t="str">
        <f>IFERROR(INDEX(PT,ROW()-5),"")</f>
        <v/>
      </c>
      <c r="F72" t="str">
        <f t="shared" si="66"/>
        <v/>
      </c>
      <c r="G72" t="str">
        <f t="shared" ref="G72:J72" si="73">IFERROR(FIND("_",$L72,F72+1),"")</f>
        <v/>
      </c>
      <c r="H72" t="str">
        <f t="shared" si="73"/>
        <v/>
      </c>
      <c r="I72" t="str">
        <f t="shared" si="73"/>
        <v/>
      </c>
      <c r="J72" t="str">
        <f t="shared" si="73"/>
        <v/>
      </c>
      <c r="L7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2" t="str">
        <f>IFERROR(INDEX(RX,ROW()-5),"")</f>
        <v/>
      </c>
    </row>
    <row r="73" spans="1:17">
      <c r="A73" t="str">
        <f>IFERROR(INDEX(MT,ROW()-5),"")</f>
        <v/>
      </c>
      <c r="E73" t="str">
        <f>IFERROR(INDEX(PT,ROW()-5),"")</f>
        <v/>
      </c>
      <c r="F73" t="str">
        <f t="shared" si="66"/>
        <v/>
      </c>
      <c r="G73" t="str">
        <f t="shared" ref="G73:J73" si="74">IFERROR(FIND("_",$L73,F73+1),"")</f>
        <v/>
      </c>
      <c r="H73" t="str">
        <f t="shared" si="74"/>
        <v/>
      </c>
      <c r="I73" t="str">
        <f t="shared" si="74"/>
        <v/>
      </c>
      <c r="J73" t="str">
        <f t="shared" si="74"/>
        <v/>
      </c>
      <c r="L7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3" t="str">
        <f>IFERROR(INDEX(RX,ROW()-5),"")</f>
        <v/>
      </c>
    </row>
    <row r="74" spans="1:17">
      <c r="A74" t="str">
        <f>IFERROR(INDEX(MT,ROW()-5),"")</f>
        <v/>
      </c>
      <c r="E74" t="str">
        <f>IFERROR(INDEX(PT,ROW()-5),"")</f>
        <v/>
      </c>
      <c r="F74" t="str">
        <f t="shared" si="66"/>
        <v/>
      </c>
      <c r="G74" t="str">
        <f t="shared" ref="G74:J74" si="75">IFERROR(FIND("_",$L74,F74+1),"")</f>
        <v/>
      </c>
      <c r="H74" t="str">
        <f t="shared" si="75"/>
        <v/>
      </c>
      <c r="I74" t="str">
        <f t="shared" si="75"/>
        <v/>
      </c>
      <c r="J74" t="str">
        <f t="shared" si="75"/>
        <v/>
      </c>
      <c r="L7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4" t="str">
        <f>IFERROR(INDEX(RX,ROW()-5),"")</f>
        <v/>
      </c>
    </row>
    <row r="75" spans="1:17">
      <c r="A75" t="str">
        <f>IFERROR(INDEX(MT,ROW()-5),"")</f>
        <v/>
      </c>
      <c r="E75" t="str">
        <f>IFERROR(INDEX(PT,ROW()-5),"")</f>
        <v/>
      </c>
      <c r="F75" t="str">
        <f t="shared" si="66"/>
        <v/>
      </c>
      <c r="G75" t="str">
        <f t="shared" ref="G75:J75" si="76">IFERROR(FIND("_",$L75,F75+1),"")</f>
        <v/>
      </c>
      <c r="H75" t="str">
        <f t="shared" si="76"/>
        <v/>
      </c>
      <c r="I75" t="str">
        <f t="shared" si="76"/>
        <v/>
      </c>
      <c r="J75" t="str">
        <f t="shared" si="76"/>
        <v/>
      </c>
      <c r="L7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5" t="str">
        <f>IFERROR(INDEX(RX,ROW()-5),"")</f>
        <v/>
      </c>
    </row>
    <row r="76" spans="1:17">
      <c r="A76" t="str">
        <f>IFERROR(INDEX(MT,ROW()-5),"")</f>
        <v/>
      </c>
      <c r="E76" t="str">
        <f>IFERROR(INDEX(PT,ROW()-5),"")</f>
        <v/>
      </c>
      <c r="F76" t="str">
        <f t="shared" si="66"/>
        <v/>
      </c>
      <c r="G76" t="str">
        <f t="shared" ref="G76:J76" si="77">IFERROR(FIND("_",$L76,F76+1),"")</f>
        <v/>
      </c>
      <c r="H76" t="str">
        <f t="shared" si="77"/>
        <v/>
      </c>
      <c r="I76" t="str">
        <f t="shared" si="77"/>
        <v/>
      </c>
      <c r="J76" t="str">
        <f t="shared" si="77"/>
        <v/>
      </c>
      <c r="L7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6" t="str">
        <f>IFERROR(INDEX(RX,ROW()-5),"")</f>
        <v/>
      </c>
    </row>
    <row r="77" spans="1:17">
      <c r="A77" t="str">
        <f>IFERROR(INDEX(MT,ROW()-5),"")</f>
        <v/>
      </c>
      <c r="E77" t="str">
        <f>IFERROR(INDEX(PT,ROW()-5),"")</f>
        <v/>
      </c>
      <c r="F77" t="str">
        <f t="shared" si="66"/>
        <v/>
      </c>
      <c r="G77" t="str">
        <f t="shared" ref="G77:J77" si="78">IFERROR(FIND("_",$L77,F77+1),"")</f>
        <v/>
      </c>
      <c r="H77" t="str">
        <f t="shared" si="78"/>
        <v/>
      </c>
      <c r="I77" t="str">
        <f t="shared" si="78"/>
        <v/>
      </c>
      <c r="J77" t="str">
        <f t="shared" si="78"/>
        <v/>
      </c>
      <c r="L7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7" t="str">
        <f>IFERROR(INDEX(RX,ROW()-5),"")</f>
        <v/>
      </c>
    </row>
    <row r="78" spans="1:17">
      <c r="A78" t="str">
        <f>IFERROR(INDEX(MT,ROW()-5),"")</f>
        <v/>
      </c>
      <c r="E78" t="str">
        <f>IFERROR(INDEX(PT,ROW()-5),"")</f>
        <v/>
      </c>
      <c r="F78" t="str">
        <f t="shared" si="66"/>
        <v/>
      </c>
      <c r="G78" t="str">
        <f t="shared" ref="G78:J78" si="79">IFERROR(FIND("_",$L78,F78+1),"")</f>
        <v/>
      </c>
      <c r="H78" t="str">
        <f t="shared" si="79"/>
        <v/>
      </c>
      <c r="I78" t="str">
        <f t="shared" si="79"/>
        <v/>
      </c>
      <c r="J78" t="str">
        <f t="shared" si="79"/>
        <v/>
      </c>
      <c r="L7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8" t="str">
        <f>IFERROR(INDEX(RX,ROW()-5),"")</f>
        <v/>
      </c>
    </row>
    <row r="79" spans="1:17">
      <c r="A79" t="str">
        <f>IFERROR(INDEX(MT,ROW()-5),"")</f>
        <v/>
      </c>
      <c r="E79" t="str">
        <f>IFERROR(INDEX(PT,ROW()-5),"")</f>
        <v/>
      </c>
      <c r="F79" t="str">
        <f t="shared" si="66"/>
        <v/>
      </c>
      <c r="G79" t="str">
        <f t="shared" ref="G79:J79" si="80">IFERROR(FIND("_",$L79,F79+1),"")</f>
        <v/>
      </c>
      <c r="H79" t="str">
        <f t="shared" si="80"/>
        <v/>
      </c>
      <c r="I79" t="str">
        <f t="shared" si="80"/>
        <v/>
      </c>
      <c r="J79" t="str">
        <f t="shared" si="80"/>
        <v/>
      </c>
      <c r="L7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79" t="str">
        <f>IFERROR(INDEX(RX,ROW()-5),"")</f>
        <v/>
      </c>
    </row>
    <row r="80" spans="1:17">
      <c r="A80" t="str">
        <f>IFERROR(INDEX(MT,ROW()-5),"")</f>
        <v/>
      </c>
      <c r="E80" t="str">
        <f>IFERROR(INDEX(PT,ROW()-5),"")</f>
        <v/>
      </c>
      <c r="F80" t="str">
        <f t="shared" si="66"/>
        <v/>
      </c>
      <c r="G80" t="str">
        <f t="shared" ref="G80:J80" si="81">IFERROR(FIND("_",$L80,F80+1),"")</f>
        <v/>
      </c>
      <c r="H80" t="str">
        <f t="shared" si="81"/>
        <v/>
      </c>
      <c r="I80" t="str">
        <f t="shared" si="81"/>
        <v/>
      </c>
      <c r="J80" t="str">
        <f t="shared" si="81"/>
        <v/>
      </c>
      <c r="L8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0" t="str">
        <f>IFERROR(INDEX(RX,ROW()-5),"")</f>
        <v/>
      </c>
    </row>
    <row r="81" spans="1:15">
      <c r="A81" t="str">
        <f>IFERROR(INDEX(MT,ROW()-5),"")</f>
        <v/>
      </c>
      <c r="E81" t="str">
        <f>IFERROR(INDEX(PT,ROW()-5),"")</f>
        <v/>
      </c>
      <c r="F81" t="str">
        <f t="shared" si="66"/>
        <v/>
      </c>
      <c r="G81" t="str">
        <f t="shared" ref="G81:J81" si="82">IFERROR(FIND("_",$L81,F81+1),"")</f>
        <v/>
      </c>
      <c r="H81" t="str">
        <f t="shared" si="82"/>
        <v/>
      </c>
      <c r="I81" t="str">
        <f t="shared" si="82"/>
        <v/>
      </c>
      <c r="J81" t="str">
        <f t="shared" si="82"/>
        <v/>
      </c>
      <c r="L8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1" t="str">
        <f>IFERROR(INDEX(RX,ROW()-5),"")</f>
        <v/>
      </c>
    </row>
    <row r="82" spans="1:15">
      <c r="A82" t="str">
        <f>IFERROR(INDEX(MT,ROW()-5),"")</f>
        <v/>
      </c>
      <c r="E82" t="str">
        <f>IFERROR(INDEX(PT,ROW()-5),"")</f>
        <v/>
      </c>
      <c r="F82" t="str">
        <f t="shared" si="66"/>
        <v/>
      </c>
      <c r="G82" t="str">
        <f t="shared" ref="G82:J82" si="83">IFERROR(FIND("_",$L82,F82+1),"")</f>
        <v/>
      </c>
      <c r="H82" t="str">
        <f t="shared" si="83"/>
        <v/>
      </c>
      <c r="I82" t="str">
        <f t="shared" si="83"/>
        <v/>
      </c>
      <c r="J82" t="str">
        <f t="shared" si="83"/>
        <v/>
      </c>
      <c r="L8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2" t="str">
        <f>IFERROR(INDEX(RX,ROW()-5),"")</f>
        <v/>
      </c>
    </row>
    <row r="83" spans="1:15">
      <c r="A83" t="str">
        <f>IFERROR(INDEX(MT,ROW()-5),"")</f>
        <v/>
      </c>
      <c r="E83" t="str">
        <f>IFERROR(INDEX(PT,ROW()-5),"")</f>
        <v/>
      </c>
      <c r="F83" t="str">
        <f t="shared" si="66"/>
        <v/>
      </c>
      <c r="G83" t="str">
        <f t="shared" ref="G83:J83" si="84">IFERROR(FIND("_",$L83,F83+1),"")</f>
        <v/>
      </c>
      <c r="H83" t="str">
        <f t="shared" si="84"/>
        <v/>
      </c>
      <c r="I83" t="str">
        <f t="shared" si="84"/>
        <v/>
      </c>
      <c r="J83" t="str">
        <f t="shared" si="84"/>
        <v/>
      </c>
      <c r="L8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3" t="str">
        <f>IFERROR(INDEX(RX,ROW()-5),"")</f>
        <v/>
      </c>
    </row>
    <row r="84" spans="1:15">
      <c r="A84" t="str">
        <f>IFERROR(INDEX(MT,ROW()-5),"")</f>
        <v/>
      </c>
      <c r="E84" t="str">
        <f>IFERROR(INDEX(PT,ROW()-5),"")</f>
        <v/>
      </c>
      <c r="F84" t="str">
        <f t="shared" si="66"/>
        <v/>
      </c>
      <c r="G84" t="str">
        <f t="shared" ref="G84:J84" si="85">IFERROR(FIND("_",$L84,F84+1),"")</f>
        <v/>
      </c>
      <c r="H84" t="str">
        <f t="shared" si="85"/>
        <v/>
      </c>
      <c r="I84" t="str">
        <f t="shared" si="85"/>
        <v/>
      </c>
      <c r="J84" t="str">
        <f t="shared" si="85"/>
        <v/>
      </c>
      <c r="L8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4" t="str">
        <f>IFERROR(INDEX(RX,ROW()-5),"")</f>
        <v/>
      </c>
    </row>
    <row r="85" spans="1:15">
      <c r="A85" t="str">
        <f>IFERROR(INDEX(MT,ROW()-5),"")</f>
        <v/>
      </c>
      <c r="E85" t="str">
        <f>IFERROR(INDEX(PT,ROW()-5),"")</f>
        <v/>
      </c>
      <c r="F85" t="str">
        <f t="shared" si="66"/>
        <v/>
      </c>
      <c r="G85" t="str">
        <f t="shared" ref="G85:J85" si="86">IFERROR(FIND("_",$L85,F85+1),"")</f>
        <v/>
      </c>
      <c r="H85" t="str">
        <f t="shared" si="86"/>
        <v/>
      </c>
      <c r="I85" t="str">
        <f t="shared" si="86"/>
        <v/>
      </c>
      <c r="J85" t="str">
        <f t="shared" si="86"/>
        <v/>
      </c>
      <c r="L8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5" t="str">
        <f>IFERROR(INDEX(RX,ROW()-5),"")</f>
        <v/>
      </c>
    </row>
    <row r="86" spans="1:15">
      <c r="A86" t="str">
        <f>IFERROR(INDEX(MT,ROW()-5),"")</f>
        <v/>
      </c>
      <c r="E86" t="str">
        <f>IFERROR(INDEX(PT,ROW()-5),"")</f>
        <v/>
      </c>
      <c r="F86" t="str">
        <f t="shared" si="66"/>
        <v/>
      </c>
      <c r="G86" t="str">
        <f t="shared" ref="G86:J86" si="87">IFERROR(FIND("_",$L86,F86+1),"")</f>
        <v/>
      </c>
      <c r="H86" t="str">
        <f t="shared" si="87"/>
        <v/>
      </c>
      <c r="I86" t="str">
        <f t="shared" si="87"/>
        <v/>
      </c>
      <c r="J86" t="str">
        <f t="shared" si="87"/>
        <v/>
      </c>
      <c r="L8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6" t="str">
        <f>IFERROR(INDEX(RX,ROW()-5),"")</f>
        <v/>
      </c>
    </row>
    <row r="87" spans="1:15">
      <c r="A87" t="str">
        <f>IFERROR(INDEX(MT,ROW()-5),"")</f>
        <v/>
      </c>
      <c r="E87" t="str">
        <f>IFERROR(INDEX(PT,ROW()-5),"")</f>
        <v/>
      </c>
      <c r="F87" t="str">
        <f t="shared" si="66"/>
        <v/>
      </c>
      <c r="G87" t="str">
        <f t="shared" ref="G87:J87" si="88">IFERROR(FIND("_",$L87,F87+1),"")</f>
        <v/>
      </c>
      <c r="H87" t="str">
        <f t="shared" si="88"/>
        <v/>
      </c>
      <c r="I87" t="str">
        <f t="shared" si="88"/>
        <v/>
      </c>
      <c r="J87" t="str">
        <f t="shared" si="88"/>
        <v/>
      </c>
      <c r="L8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7" t="str">
        <f>IFERROR(INDEX(RX,ROW()-5),"")</f>
        <v/>
      </c>
    </row>
    <row r="88" spans="1:15">
      <c r="A88" t="str">
        <f>IFERROR(INDEX(MT,ROW()-5),"")</f>
        <v/>
      </c>
      <c r="E88" t="str">
        <f>IFERROR(INDEX(PT,ROW()-5),"")</f>
        <v/>
      </c>
      <c r="F88" t="str">
        <f t="shared" si="66"/>
        <v/>
      </c>
      <c r="G88" t="str">
        <f t="shared" ref="G88:J88" si="89">IFERROR(FIND("_",$L88,F88+1),"")</f>
        <v/>
      </c>
      <c r="H88" t="str">
        <f t="shared" si="89"/>
        <v/>
      </c>
      <c r="I88" t="str">
        <f t="shared" si="89"/>
        <v/>
      </c>
      <c r="J88" t="str">
        <f t="shared" si="89"/>
        <v/>
      </c>
      <c r="L8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8" t="str">
        <f>IFERROR(INDEX(RX,ROW()-5),"")</f>
        <v/>
      </c>
    </row>
    <row r="89" spans="1:15">
      <c r="A89" t="str">
        <f>IFERROR(INDEX(MT,ROW()-5),"")</f>
        <v/>
      </c>
      <c r="E89" t="str">
        <f>IFERROR(INDEX(PT,ROW()-5),"")</f>
        <v/>
      </c>
      <c r="F89" t="str">
        <f t="shared" si="66"/>
        <v/>
      </c>
      <c r="G89" t="str">
        <f t="shared" ref="G89:J89" si="90">IFERROR(FIND("_",$L89,F89+1),"")</f>
        <v/>
      </c>
      <c r="H89" t="str">
        <f t="shared" si="90"/>
        <v/>
      </c>
      <c r="I89" t="str">
        <f t="shared" si="90"/>
        <v/>
      </c>
      <c r="J89" t="str">
        <f t="shared" si="90"/>
        <v/>
      </c>
      <c r="L8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89" t="str">
        <f>IFERROR(INDEX(RX,ROW()-5),"")</f>
        <v/>
      </c>
    </row>
    <row r="90" spans="1:15">
      <c r="A90" t="str">
        <f>IFERROR(INDEX(MT,ROW()-5),"")</f>
        <v/>
      </c>
      <c r="E90" t="str">
        <f>IFERROR(INDEX(PT,ROW()-5),"")</f>
        <v/>
      </c>
      <c r="F90" t="str">
        <f t="shared" si="66"/>
        <v/>
      </c>
      <c r="G90" t="str">
        <f t="shared" ref="G90:J90" si="91">IFERROR(FIND("_",$L90,F90+1),"")</f>
        <v/>
      </c>
      <c r="H90" t="str">
        <f t="shared" si="91"/>
        <v/>
      </c>
      <c r="I90" t="str">
        <f t="shared" si="91"/>
        <v/>
      </c>
      <c r="J90" t="str">
        <f t="shared" si="91"/>
        <v/>
      </c>
      <c r="L9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0" t="str">
        <f>IFERROR(INDEX(RX,ROW()-5),"")</f>
        <v/>
      </c>
    </row>
    <row r="91" spans="1:15">
      <c r="A91" t="str">
        <f>IFERROR(INDEX(MT,ROW()-5),"")</f>
        <v/>
      </c>
      <c r="E91" t="str">
        <f>IFERROR(INDEX(PT,ROW()-5),"")</f>
        <v/>
      </c>
      <c r="F91" t="str">
        <f t="shared" si="66"/>
        <v/>
      </c>
      <c r="G91" t="str">
        <f t="shared" ref="G91:J91" si="92">IFERROR(FIND("_",$L91,F91+1),"")</f>
        <v/>
      </c>
      <c r="H91" t="str">
        <f t="shared" si="92"/>
        <v/>
      </c>
      <c r="I91" t="str">
        <f t="shared" si="92"/>
        <v/>
      </c>
      <c r="J91" t="str">
        <f t="shared" si="92"/>
        <v/>
      </c>
      <c r="L91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1" t="str">
        <f>IFERROR(INDEX(RX,ROW()-5),"")</f>
        <v/>
      </c>
    </row>
    <row r="92" spans="1:15">
      <c r="A92" t="str">
        <f>IFERROR(INDEX(MT,ROW()-5),"")</f>
        <v/>
      </c>
      <c r="E92" t="str">
        <f>IFERROR(INDEX(PT,ROW()-5),"")</f>
        <v/>
      </c>
      <c r="F92" t="str">
        <f t="shared" si="66"/>
        <v/>
      </c>
      <c r="G92" t="str">
        <f t="shared" ref="G92:J92" si="93">IFERROR(FIND("_",$L92,F92+1),"")</f>
        <v/>
      </c>
      <c r="H92" t="str">
        <f t="shared" si="93"/>
        <v/>
      </c>
      <c r="I92" t="str">
        <f t="shared" si="93"/>
        <v/>
      </c>
      <c r="J92" t="str">
        <f t="shared" si="93"/>
        <v/>
      </c>
      <c r="L92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2" t="str">
        <f>IFERROR(INDEX(RX,ROW()-5),"")</f>
        <v/>
      </c>
    </row>
    <row r="93" spans="1:15">
      <c r="A93" t="str">
        <f>IFERROR(INDEX(MT,ROW()-5),"")</f>
        <v/>
      </c>
      <c r="E93" t="str">
        <f>IFERROR(INDEX(PT,ROW()-5),"")</f>
        <v/>
      </c>
      <c r="F93" t="str">
        <f t="shared" si="66"/>
        <v/>
      </c>
      <c r="G93" t="str">
        <f t="shared" ref="G93:J93" si="94">IFERROR(FIND("_",$L93,F93+1),"")</f>
        <v/>
      </c>
      <c r="H93" t="str">
        <f t="shared" si="94"/>
        <v/>
      </c>
      <c r="I93" t="str">
        <f t="shared" si="94"/>
        <v/>
      </c>
      <c r="J93" t="str">
        <f t="shared" si="94"/>
        <v/>
      </c>
      <c r="L93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3" t="str">
        <f>IFERROR(INDEX(RX,ROW()-5),"")</f>
        <v/>
      </c>
    </row>
    <row r="94" spans="1:15">
      <c r="A94" t="str">
        <f>IFERROR(INDEX(MT,ROW()-5),"")</f>
        <v/>
      </c>
      <c r="E94" t="str">
        <f>IFERROR(INDEX(PT,ROW()-5),"")</f>
        <v/>
      </c>
      <c r="F94" t="str">
        <f t="shared" si="66"/>
        <v/>
      </c>
      <c r="G94" t="str">
        <f t="shared" ref="G94:J94" si="95">IFERROR(FIND("_",$L94,F94+1),"")</f>
        <v/>
      </c>
      <c r="H94" t="str">
        <f t="shared" si="95"/>
        <v/>
      </c>
      <c r="I94" t="str">
        <f t="shared" si="95"/>
        <v/>
      </c>
      <c r="J94" t="str">
        <f t="shared" si="95"/>
        <v/>
      </c>
      <c r="L94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4" t="str">
        <f>IFERROR(INDEX(RX,ROW()-5),"")</f>
        <v/>
      </c>
    </row>
    <row r="95" spans="1:15">
      <c r="A95" t="str">
        <f>IFERROR(INDEX(MT,ROW()-5),"")</f>
        <v/>
      </c>
      <c r="E95" t="str">
        <f>IFERROR(INDEX(PT,ROW()-5),"")</f>
        <v/>
      </c>
      <c r="F95" t="str">
        <f t="shared" si="66"/>
        <v/>
      </c>
      <c r="G95" t="str">
        <f t="shared" ref="G95:J95" si="96">IFERROR(FIND("_",$L95,F95+1),"")</f>
        <v/>
      </c>
      <c r="H95" t="str">
        <f t="shared" si="96"/>
        <v/>
      </c>
      <c r="I95" t="str">
        <f t="shared" si="96"/>
        <v/>
      </c>
      <c r="J95" t="str">
        <f t="shared" si="96"/>
        <v/>
      </c>
      <c r="L95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5" t="str">
        <f>IFERROR(INDEX(RX,ROW()-5),"")</f>
        <v/>
      </c>
    </row>
    <row r="96" spans="1:15">
      <c r="A96" t="str">
        <f>IFERROR(INDEX(MT,ROW()-5),"")</f>
        <v/>
      </c>
      <c r="E96" t="str">
        <f>IFERROR(INDEX(PT,ROW()-5),"")</f>
        <v/>
      </c>
      <c r="F96" t="str">
        <f t="shared" si="66"/>
        <v/>
      </c>
      <c r="G96" t="str">
        <f t="shared" ref="G96:J96" si="97">IFERROR(FIND("_",$L96,F96+1),"")</f>
        <v/>
      </c>
      <c r="H96" t="str">
        <f t="shared" si="97"/>
        <v/>
      </c>
      <c r="I96" t="str">
        <f t="shared" si="97"/>
        <v/>
      </c>
      <c r="J96" t="str">
        <f t="shared" si="97"/>
        <v/>
      </c>
      <c r="L96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6" t="str">
        <f>IFERROR(INDEX(RX,ROW()-5),"")</f>
        <v/>
      </c>
    </row>
    <row r="97" spans="1:15">
      <c r="A97" t="str">
        <f>IFERROR(INDEX(MT,ROW()-5),"")</f>
        <v/>
      </c>
      <c r="E97" t="str">
        <f>IFERROR(INDEX(PT,ROW()-5),"")</f>
        <v/>
      </c>
      <c r="F97" t="str">
        <f t="shared" si="66"/>
        <v/>
      </c>
      <c r="G97" t="str">
        <f t="shared" ref="G97:J97" si="98">IFERROR(FIND("_",$L97,F97+1),"")</f>
        <v/>
      </c>
      <c r="H97" t="str">
        <f t="shared" si="98"/>
        <v/>
      </c>
      <c r="I97" t="str">
        <f t="shared" si="98"/>
        <v/>
      </c>
      <c r="J97" t="str">
        <f t="shared" si="98"/>
        <v/>
      </c>
      <c r="L97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7" t="str">
        <f>IFERROR(INDEX(RX,ROW()-5),"")</f>
        <v/>
      </c>
    </row>
    <row r="98" spans="1:15">
      <c r="A98" t="str">
        <f>IFERROR(INDEX(MT,ROW()-5),"")</f>
        <v/>
      </c>
      <c r="E98" t="str">
        <f>IFERROR(INDEX(PT,ROW()-5),"")</f>
        <v/>
      </c>
      <c r="F98" t="str">
        <f t="shared" si="66"/>
        <v/>
      </c>
      <c r="G98" t="str">
        <f t="shared" ref="G98:J98" si="99">IFERROR(FIND("_",$L98,F98+1),"")</f>
        <v/>
      </c>
      <c r="H98" t="str">
        <f t="shared" si="99"/>
        <v/>
      </c>
      <c r="I98" t="str">
        <f t="shared" si="99"/>
        <v/>
      </c>
      <c r="J98" t="str">
        <f t="shared" si="99"/>
        <v/>
      </c>
      <c r="L98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8" t="str">
        <f>IFERROR(INDEX(RX,ROW()-5),"")</f>
        <v/>
      </c>
    </row>
    <row r="99" spans="1:15">
      <c r="A99" t="str">
        <f>IFERROR(INDEX(MT,ROW()-5),"")</f>
        <v/>
      </c>
      <c r="E99" t="str">
        <f>IFERROR(INDEX(PT,ROW()-5),"")</f>
        <v/>
      </c>
      <c r="F99" t="str">
        <f t="shared" si="66"/>
        <v/>
      </c>
      <c r="G99" t="str">
        <f t="shared" ref="G99:J99" si="100">IFERROR(FIND("_",$L99,F99+1),"")</f>
        <v/>
      </c>
      <c r="H99" t="str">
        <f t="shared" si="100"/>
        <v/>
      </c>
      <c r="I99" t="str">
        <f t="shared" si="100"/>
        <v/>
      </c>
      <c r="J99" t="str">
        <f t="shared" si="100"/>
        <v/>
      </c>
      <c r="L99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99" t="str">
        <f>IFERROR(INDEX(RX,ROW()-5),"")</f>
        <v/>
      </c>
    </row>
    <row r="100" spans="1:15">
      <c r="A100" t="str">
        <f>IFERROR(INDEX(MT,ROW()-5),"")</f>
        <v/>
      </c>
      <c r="E100" t="str">
        <f>IFERROR(INDEX(PT,ROW()-5),"")</f>
        <v/>
      </c>
      <c r="F100" t="str">
        <f t="shared" si="66"/>
        <v/>
      </c>
      <c r="G100" t="str">
        <f t="shared" ref="G100:J100" si="101">IFERROR(FIND("_",$L100,F100+1),"")</f>
        <v/>
      </c>
      <c r="H100" t="str">
        <f t="shared" si="101"/>
        <v/>
      </c>
      <c r="I100" t="str">
        <f t="shared" si="101"/>
        <v/>
      </c>
      <c r="J100" t="str">
        <f t="shared" si="101"/>
        <v/>
      </c>
      <c r="L100" t="str">
        <f>IF(IFERROR(INDEX(MT,ROW()),"")&lt;&gt;"",INDEX(MT,ROW()),IF(IFERROR(INDEX(PT,ROW()-$P$2),"")&lt;&gt;"",INDEX(PT,ROW()-$P$2),IF(IFERROR(INDEX(RX,ROW()-($P$2+$S$2)),"")&lt;&gt;"",INDEX(RX,ROW()-($P$2+$S$2)),IF(IFERROR(INDEX(UT,ROW()-($P$2+$S$2+$V$2)),"")&lt;&gt;"",INDEX(UT,ROW()-($P$2+$S$2+$V$2)),IF(IFERROR(INDEX(VT,ROW()-($P$2+$S$2+$V$2+$Y$2)),"")&lt;&gt;"",INDEX(VT,ROW()-($P$2+$S$2+$V$2+$Y$2)),"")))))</f>
        <v/>
      </c>
      <c r="O100" t="str">
        <f>IFERROR(INDEX(RX,ROW()-5),"")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B1:S34"/>
  <sheetViews>
    <sheetView topLeftCell="A9" workbookViewId="0">
      <selection activeCell="G37" sqref="G37"/>
    </sheetView>
  </sheetViews>
  <sheetFormatPr defaultRowHeight="15"/>
  <cols>
    <col min="1" max="1" width="8.85546875" customWidth="1"/>
    <col min="2" max="2" width="33.140625" bestFit="1" customWidth="1"/>
    <col min="4" max="4" width="14" customWidth="1"/>
    <col min="5" max="5" width="14.85546875" customWidth="1"/>
    <col min="6" max="16" width="10.7109375" bestFit="1" customWidth="1"/>
  </cols>
  <sheetData>
    <row r="1" spans="2:19" ht="15" customHeight="1">
      <c r="B1" s="86" t="s">
        <v>0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8"/>
    </row>
    <row r="2" spans="2:19">
      <c r="B2" s="89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1"/>
    </row>
    <row r="3" spans="2:19">
      <c r="B3" s="89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1"/>
    </row>
    <row r="4" spans="2:19">
      <c r="B4" s="89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1"/>
    </row>
    <row r="5" spans="2:19">
      <c r="B5" s="89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1"/>
    </row>
    <row r="6" spans="2:19" ht="15" customHeight="1">
      <c r="B6" s="92" t="s">
        <v>32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4"/>
    </row>
    <row r="7" spans="2:19" ht="15.75" thickBot="1">
      <c r="B7" s="95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7"/>
    </row>
    <row r="8" spans="2:19" ht="15.75" thickBot="1"/>
    <row r="9" spans="2:19" ht="15" customHeight="1">
      <c r="B9" s="67" t="s">
        <v>2</v>
      </c>
      <c r="C9" s="65" t="s">
        <v>3</v>
      </c>
      <c r="D9" s="65" t="s">
        <v>33</v>
      </c>
      <c r="E9" s="65" t="s">
        <v>34</v>
      </c>
      <c r="F9" s="82" t="s">
        <v>35</v>
      </c>
      <c r="G9" s="83"/>
      <c r="H9" s="83"/>
      <c r="I9" s="83"/>
      <c r="J9" s="83"/>
      <c r="K9" s="83"/>
      <c r="L9" s="83"/>
      <c r="M9" s="83"/>
      <c r="N9" s="83"/>
      <c r="O9" s="83"/>
      <c r="P9" s="79" t="s">
        <v>36</v>
      </c>
      <c r="Q9" s="80"/>
      <c r="R9" s="80"/>
      <c r="S9" s="81"/>
    </row>
    <row r="10" spans="2:19">
      <c r="B10" s="68"/>
      <c r="C10" s="66"/>
      <c r="D10" s="66"/>
      <c r="E10" s="66"/>
      <c r="F10" s="31">
        <f>D11+180</f>
        <v>44755</v>
      </c>
      <c r="G10" s="31">
        <f t="shared" ref="G10:O10" si="0">F10+180</f>
        <v>44935</v>
      </c>
      <c r="H10" s="31">
        <f t="shared" si="0"/>
        <v>45115</v>
      </c>
      <c r="I10" s="31">
        <f t="shared" si="0"/>
        <v>45295</v>
      </c>
      <c r="J10" s="31">
        <f t="shared" si="0"/>
        <v>45475</v>
      </c>
      <c r="K10" s="31">
        <f t="shared" si="0"/>
        <v>45655</v>
      </c>
      <c r="L10" s="31">
        <f t="shared" si="0"/>
        <v>45835</v>
      </c>
      <c r="M10" s="31">
        <f t="shared" si="0"/>
        <v>46015</v>
      </c>
      <c r="N10" s="31">
        <f t="shared" si="0"/>
        <v>46195</v>
      </c>
      <c r="O10" s="33">
        <f t="shared" si="0"/>
        <v>46375</v>
      </c>
      <c r="P10" s="76">
        <f>E11-912</f>
        <v>45492</v>
      </c>
      <c r="Q10" s="77"/>
      <c r="R10" s="77"/>
      <c r="S10" s="78"/>
    </row>
    <row r="11" spans="2:19">
      <c r="B11" s="21" t="s">
        <v>23</v>
      </c>
      <c r="C11" s="28" t="s">
        <v>9</v>
      </c>
      <c r="D11" s="19">
        <v>44575</v>
      </c>
      <c r="E11" s="19">
        <v>46404</v>
      </c>
      <c r="F11" s="20"/>
      <c r="G11" s="20"/>
      <c r="H11" s="20"/>
      <c r="I11" s="20"/>
      <c r="J11" s="20"/>
      <c r="K11" s="20"/>
      <c r="L11" s="20"/>
      <c r="M11" s="20"/>
      <c r="N11" s="20"/>
      <c r="O11" s="34"/>
      <c r="P11" s="98"/>
      <c r="Q11" s="99"/>
      <c r="R11" s="99"/>
      <c r="S11" s="100"/>
    </row>
    <row r="12" spans="2:19" ht="15.75" thickBot="1">
      <c r="B12" s="23" t="s">
        <v>24</v>
      </c>
      <c r="C12" s="29" t="s">
        <v>9</v>
      </c>
      <c r="D12" s="24">
        <v>44575</v>
      </c>
      <c r="E12" s="24">
        <v>46404</v>
      </c>
      <c r="F12" s="25"/>
      <c r="G12" s="25"/>
      <c r="H12" s="25"/>
      <c r="I12" s="25"/>
      <c r="J12" s="25"/>
      <c r="K12" s="25"/>
      <c r="L12" s="25"/>
      <c r="M12" s="25"/>
      <c r="N12" s="25"/>
      <c r="O12" s="35"/>
      <c r="P12" s="73"/>
      <c r="Q12" s="74"/>
      <c r="R12" s="74"/>
      <c r="S12" s="75"/>
    </row>
    <row r="13" spans="2:19" ht="15.75" thickBot="1"/>
    <row r="14" spans="2:19">
      <c r="B14" s="70" t="s">
        <v>2</v>
      </c>
      <c r="C14" s="72" t="s">
        <v>3</v>
      </c>
      <c r="D14" s="72" t="s">
        <v>33</v>
      </c>
      <c r="E14" s="72" t="s">
        <v>34</v>
      </c>
      <c r="F14" s="80" t="s">
        <v>35</v>
      </c>
      <c r="G14" s="80"/>
      <c r="H14" s="80"/>
      <c r="I14" s="80"/>
      <c r="J14" s="80"/>
      <c r="K14" s="80"/>
      <c r="L14" s="80"/>
      <c r="M14" s="80"/>
      <c r="N14" s="80"/>
      <c r="O14" s="82"/>
      <c r="P14" s="79" t="s">
        <v>36</v>
      </c>
      <c r="Q14" s="80"/>
      <c r="R14" s="80"/>
      <c r="S14" s="81"/>
    </row>
    <row r="15" spans="2:19">
      <c r="B15" s="71"/>
      <c r="C15" s="69"/>
      <c r="D15" s="69"/>
      <c r="E15" s="69"/>
      <c r="F15" s="31">
        <f>D16+180</f>
        <v>45062</v>
      </c>
      <c r="G15" s="31">
        <f t="shared" ref="G15:O15" si="1">F15+180</f>
        <v>45242</v>
      </c>
      <c r="H15" s="31">
        <f t="shared" si="1"/>
        <v>45422</v>
      </c>
      <c r="I15" s="31">
        <f t="shared" si="1"/>
        <v>45602</v>
      </c>
      <c r="J15" s="31">
        <f t="shared" si="1"/>
        <v>45782</v>
      </c>
      <c r="K15" s="31">
        <f t="shared" si="1"/>
        <v>45962</v>
      </c>
      <c r="L15" s="31">
        <f t="shared" si="1"/>
        <v>46142</v>
      </c>
      <c r="M15" s="31">
        <f t="shared" si="1"/>
        <v>46322</v>
      </c>
      <c r="N15" s="31">
        <f t="shared" si="1"/>
        <v>46502</v>
      </c>
      <c r="O15" s="33">
        <f t="shared" si="1"/>
        <v>46682</v>
      </c>
      <c r="P15" s="76">
        <f>E16-912</f>
        <v>45796</v>
      </c>
      <c r="Q15" s="77"/>
      <c r="R15" s="77"/>
      <c r="S15" s="78"/>
    </row>
    <row r="16" spans="2:19">
      <c r="B16" s="27" t="s">
        <v>23</v>
      </c>
      <c r="C16" s="30" t="s">
        <v>10</v>
      </c>
      <c r="D16" s="18">
        <v>44882</v>
      </c>
      <c r="E16" s="18">
        <v>46708</v>
      </c>
      <c r="F16" s="20"/>
      <c r="G16" s="20"/>
      <c r="H16" s="20"/>
      <c r="I16" s="20"/>
      <c r="J16" s="20"/>
      <c r="K16" s="20"/>
      <c r="L16" s="20"/>
      <c r="M16" s="20"/>
      <c r="N16" s="20"/>
      <c r="O16" s="34"/>
      <c r="P16" s="98"/>
      <c r="Q16" s="99"/>
      <c r="R16" s="99"/>
      <c r="S16" s="100"/>
    </row>
    <row r="17" spans="2:19">
      <c r="B17" s="27" t="s">
        <v>25</v>
      </c>
      <c r="C17" s="30" t="s">
        <v>10</v>
      </c>
      <c r="D17" s="18">
        <v>44882</v>
      </c>
      <c r="E17" s="18">
        <v>46708</v>
      </c>
      <c r="F17" s="20"/>
      <c r="G17" s="20"/>
      <c r="H17" s="20"/>
      <c r="I17" s="20"/>
      <c r="J17" s="20"/>
      <c r="K17" s="20"/>
      <c r="L17" s="20"/>
      <c r="M17" s="20"/>
      <c r="N17" s="20"/>
      <c r="O17" s="34"/>
      <c r="P17" s="98"/>
      <c r="Q17" s="99"/>
      <c r="R17" s="99"/>
      <c r="S17" s="100"/>
    </row>
    <row r="18" spans="2:19">
      <c r="B18" s="27" t="s">
        <v>26</v>
      </c>
      <c r="C18" s="30" t="s">
        <v>10</v>
      </c>
      <c r="D18" s="18">
        <v>44882</v>
      </c>
      <c r="E18" s="18">
        <v>46708</v>
      </c>
      <c r="F18" s="20"/>
      <c r="G18" s="20"/>
      <c r="H18" s="20"/>
      <c r="I18" s="20"/>
      <c r="J18" s="20"/>
      <c r="K18" s="20"/>
      <c r="L18" s="20"/>
      <c r="M18" s="20"/>
      <c r="N18" s="20"/>
      <c r="O18" s="34"/>
      <c r="P18" s="98"/>
      <c r="Q18" s="99"/>
      <c r="R18" s="99"/>
      <c r="S18" s="100"/>
    </row>
    <row r="19" spans="2:19" ht="15.75" thickBot="1">
      <c r="B19" s="27" t="s">
        <v>27</v>
      </c>
      <c r="C19" s="30" t="s">
        <v>10</v>
      </c>
      <c r="D19" s="18">
        <v>44882</v>
      </c>
      <c r="E19" s="18">
        <v>46708</v>
      </c>
      <c r="F19" s="20"/>
      <c r="G19" s="20"/>
      <c r="H19" s="20"/>
      <c r="I19" s="20"/>
      <c r="J19" s="20"/>
      <c r="K19" s="20"/>
      <c r="L19" s="20"/>
      <c r="M19" s="20"/>
      <c r="N19" s="20"/>
      <c r="O19" s="34"/>
      <c r="P19" s="73"/>
      <c r="Q19" s="74"/>
      <c r="R19" s="74"/>
      <c r="S19" s="75"/>
    </row>
    <row r="20" spans="2:19">
      <c r="B20" s="71" t="s">
        <v>2</v>
      </c>
      <c r="C20" s="69" t="s">
        <v>3</v>
      </c>
      <c r="D20" s="69" t="s">
        <v>33</v>
      </c>
      <c r="E20" s="69" t="s">
        <v>34</v>
      </c>
      <c r="F20" s="84" t="s">
        <v>35</v>
      </c>
      <c r="G20" s="84"/>
      <c r="H20" s="84"/>
      <c r="I20" s="84"/>
      <c r="J20" s="84"/>
      <c r="K20" s="84"/>
      <c r="L20" s="84"/>
      <c r="M20" s="84"/>
      <c r="N20" s="84"/>
      <c r="O20" s="85"/>
      <c r="P20" s="79" t="s">
        <v>36</v>
      </c>
      <c r="Q20" s="80"/>
      <c r="R20" s="80"/>
      <c r="S20" s="81"/>
    </row>
    <row r="21" spans="2:19">
      <c r="B21" s="71"/>
      <c r="C21" s="69"/>
      <c r="D21" s="69"/>
      <c r="E21" s="69"/>
      <c r="F21" s="31">
        <f>D22+180</f>
        <v>44816</v>
      </c>
      <c r="G21" s="31">
        <f t="shared" ref="G21:O21" si="2">F21+180</f>
        <v>44996</v>
      </c>
      <c r="H21" s="31">
        <f t="shared" si="2"/>
        <v>45176</v>
      </c>
      <c r="I21" s="31">
        <f t="shared" si="2"/>
        <v>45356</v>
      </c>
      <c r="J21" s="31">
        <f t="shared" si="2"/>
        <v>45536</v>
      </c>
      <c r="K21" s="31">
        <f t="shared" si="2"/>
        <v>45716</v>
      </c>
      <c r="L21" s="31">
        <f t="shared" si="2"/>
        <v>45896</v>
      </c>
      <c r="M21" s="31">
        <f t="shared" si="2"/>
        <v>46076</v>
      </c>
      <c r="N21" s="31">
        <f t="shared" si="2"/>
        <v>46256</v>
      </c>
      <c r="O21" s="33">
        <f t="shared" si="2"/>
        <v>46436</v>
      </c>
      <c r="P21" s="76">
        <f>E22-912</f>
        <v>45552</v>
      </c>
      <c r="Q21" s="77"/>
      <c r="R21" s="77"/>
      <c r="S21" s="78"/>
    </row>
    <row r="22" spans="2:19">
      <c r="B22" s="27" t="s">
        <v>28</v>
      </c>
      <c r="C22" s="30" t="s">
        <v>10</v>
      </c>
      <c r="D22" s="18">
        <v>44636</v>
      </c>
      <c r="E22" s="18">
        <v>46464</v>
      </c>
      <c r="F22" s="37">
        <v>44657</v>
      </c>
      <c r="G22" s="20"/>
      <c r="H22" s="20"/>
      <c r="I22" s="20"/>
      <c r="J22" s="20"/>
      <c r="K22" s="20"/>
      <c r="L22" s="20"/>
      <c r="M22" s="20"/>
      <c r="N22" s="20"/>
      <c r="O22" s="34"/>
      <c r="P22" s="98"/>
      <c r="Q22" s="99"/>
      <c r="R22" s="99"/>
      <c r="S22" s="100"/>
    </row>
    <row r="23" spans="2:19">
      <c r="B23" s="27" t="s">
        <v>29</v>
      </c>
      <c r="C23" s="30" t="s">
        <v>10</v>
      </c>
      <c r="D23" s="18">
        <v>44636</v>
      </c>
      <c r="E23" s="18">
        <v>46464</v>
      </c>
      <c r="F23" s="37">
        <v>44783</v>
      </c>
      <c r="G23" s="20"/>
      <c r="H23" s="20"/>
      <c r="I23" s="20"/>
      <c r="J23" s="20"/>
      <c r="K23" s="20"/>
      <c r="L23" s="20"/>
      <c r="M23" s="20"/>
      <c r="N23" s="20"/>
      <c r="O23" s="34"/>
      <c r="P23" s="98"/>
      <c r="Q23" s="99"/>
      <c r="R23" s="99"/>
      <c r="S23" s="100"/>
    </row>
    <row r="24" spans="2:19">
      <c r="B24" s="27" t="s">
        <v>30</v>
      </c>
      <c r="C24" s="30" t="s">
        <v>10</v>
      </c>
      <c r="D24" s="18">
        <v>44636</v>
      </c>
      <c r="E24" s="18">
        <v>46464</v>
      </c>
      <c r="F24" s="37">
        <v>44763</v>
      </c>
      <c r="G24" s="20"/>
      <c r="H24" s="20"/>
      <c r="I24" s="20"/>
      <c r="J24" s="20"/>
      <c r="K24" s="20"/>
      <c r="L24" s="20"/>
      <c r="M24" s="20"/>
      <c r="N24" s="20"/>
      <c r="O24" s="34"/>
      <c r="P24" s="98"/>
      <c r="Q24" s="99"/>
      <c r="R24" s="99"/>
      <c r="S24" s="100"/>
    </row>
    <row r="25" spans="2:19" ht="15.75" thickBot="1">
      <c r="B25" s="23" t="s">
        <v>31</v>
      </c>
      <c r="C25" s="29" t="s">
        <v>10</v>
      </c>
      <c r="D25" s="24">
        <v>44636</v>
      </c>
      <c r="E25" s="24">
        <v>46464</v>
      </c>
      <c r="F25" s="38">
        <v>44750</v>
      </c>
      <c r="G25" s="25"/>
      <c r="H25" s="25"/>
      <c r="I25" s="25"/>
      <c r="J25" s="25"/>
      <c r="K25" s="25"/>
      <c r="L25" s="25"/>
      <c r="M25" s="25"/>
      <c r="N25" s="25"/>
      <c r="O25" s="35"/>
      <c r="P25" s="73"/>
      <c r="Q25" s="74"/>
      <c r="R25" s="74"/>
      <c r="S25" s="75"/>
    </row>
    <row r="26" spans="2:19" ht="15.75" thickBot="1"/>
    <row r="27" spans="2:19">
      <c r="B27" s="70" t="s">
        <v>2</v>
      </c>
      <c r="C27" s="72" t="s">
        <v>3</v>
      </c>
      <c r="D27" s="72" t="s">
        <v>33</v>
      </c>
      <c r="E27" s="72" t="s">
        <v>34</v>
      </c>
      <c r="F27" s="80" t="s">
        <v>35</v>
      </c>
      <c r="G27" s="80"/>
      <c r="H27" s="80"/>
      <c r="I27" s="80"/>
      <c r="J27" s="80"/>
      <c r="K27" s="80"/>
      <c r="L27" s="80"/>
      <c r="M27" s="80"/>
      <c r="N27" s="80"/>
      <c r="O27" s="81"/>
      <c r="P27" s="79" t="s">
        <v>36</v>
      </c>
      <c r="Q27" s="80"/>
      <c r="R27" s="80"/>
      <c r="S27" s="81"/>
    </row>
    <row r="28" spans="2:19">
      <c r="B28" s="71"/>
      <c r="C28" s="69"/>
      <c r="D28" s="69"/>
      <c r="E28" s="69"/>
      <c r="F28" s="31">
        <f>D29+180</f>
        <v>44755</v>
      </c>
      <c r="G28" s="31">
        <f t="shared" ref="G28:O28" si="3">F28+180</f>
        <v>44935</v>
      </c>
      <c r="H28" s="31">
        <f t="shared" si="3"/>
        <v>45115</v>
      </c>
      <c r="I28" s="31">
        <f t="shared" si="3"/>
        <v>45295</v>
      </c>
      <c r="J28" s="31">
        <f t="shared" si="3"/>
        <v>45475</v>
      </c>
      <c r="K28" s="31">
        <f t="shared" si="3"/>
        <v>45655</v>
      </c>
      <c r="L28" s="31">
        <f t="shared" si="3"/>
        <v>45835</v>
      </c>
      <c r="M28" s="31">
        <f t="shared" si="3"/>
        <v>46015</v>
      </c>
      <c r="N28" s="31">
        <f t="shared" si="3"/>
        <v>46195</v>
      </c>
      <c r="O28" s="32">
        <f t="shared" si="3"/>
        <v>46375</v>
      </c>
      <c r="P28" s="76">
        <f>E29-912</f>
        <v>45492</v>
      </c>
      <c r="Q28" s="77"/>
      <c r="R28" s="77"/>
      <c r="S28" s="78"/>
    </row>
    <row r="29" spans="2:19" ht="15.75" thickBot="1">
      <c r="B29" s="23" t="s">
        <v>23</v>
      </c>
      <c r="C29" s="29" t="s">
        <v>11</v>
      </c>
      <c r="D29" s="24">
        <v>44575</v>
      </c>
      <c r="E29" s="24">
        <v>46404</v>
      </c>
      <c r="F29" s="25"/>
      <c r="G29" s="25"/>
      <c r="H29" s="25"/>
      <c r="I29" s="25"/>
      <c r="J29" s="25"/>
      <c r="K29" s="25"/>
      <c r="L29" s="25"/>
      <c r="M29" s="25"/>
      <c r="N29" s="25"/>
      <c r="O29" s="26"/>
      <c r="P29" s="73"/>
      <c r="Q29" s="74"/>
      <c r="R29" s="74"/>
      <c r="S29" s="75"/>
    </row>
    <row r="30" spans="2:19" ht="15.75" thickBot="1"/>
    <row r="31" spans="2:19">
      <c r="B31" s="70" t="s">
        <v>2</v>
      </c>
      <c r="C31" s="72" t="s">
        <v>3</v>
      </c>
      <c r="D31" s="72" t="s">
        <v>33</v>
      </c>
      <c r="E31" s="72" t="s">
        <v>34</v>
      </c>
      <c r="F31" s="80" t="s">
        <v>35</v>
      </c>
      <c r="G31" s="80"/>
      <c r="H31" s="80"/>
      <c r="I31" s="80"/>
      <c r="J31" s="80"/>
      <c r="K31" s="80"/>
      <c r="L31" s="80"/>
      <c r="M31" s="80"/>
      <c r="N31" s="80"/>
      <c r="O31" s="81"/>
      <c r="P31" s="79" t="s">
        <v>36</v>
      </c>
      <c r="Q31" s="80"/>
      <c r="R31" s="80"/>
      <c r="S31" s="81"/>
    </row>
    <row r="32" spans="2:19">
      <c r="B32" s="71"/>
      <c r="C32" s="69"/>
      <c r="D32" s="69"/>
      <c r="E32" s="69"/>
      <c r="F32" s="31">
        <f>D34+180</f>
        <v>45455</v>
      </c>
      <c r="G32" s="31">
        <f t="shared" ref="G32" si="4">F32+180</f>
        <v>45635</v>
      </c>
      <c r="H32" s="31">
        <f t="shared" ref="H32" si="5">G32+180</f>
        <v>45815</v>
      </c>
      <c r="I32" s="31">
        <f t="shared" ref="I32" si="6">H32+180</f>
        <v>45995</v>
      </c>
      <c r="J32" s="31">
        <f t="shared" ref="J32" si="7">I32+180</f>
        <v>46175</v>
      </c>
      <c r="K32" s="31">
        <f t="shared" ref="K32" si="8">J32+180</f>
        <v>46355</v>
      </c>
      <c r="L32" s="31">
        <f t="shared" ref="L32" si="9">K32+180</f>
        <v>46535</v>
      </c>
      <c r="M32" s="31">
        <f t="shared" ref="M32" si="10">L32+180</f>
        <v>46715</v>
      </c>
      <c r="N32" s="31">
        <f t="shared" ref="N32" si="11">M32+180</f>
        <v>46895</v>
      </c>
      <c r="O32" s="32">
        <f t="shared" ref="O32" si="12">N32+180</f>
        <v>47075</v>
      </c>
      <c r="P32" s="101">
        <f>E33-912</f>
        <v>46190</v>
      </c>
      <c r="Q32" s="102"/>
      <c r="R32" s="102"/>
      <c r="S32" s="103"/>
    </row>
    <row r="33" spans="2:19">
      <c r="B33" s="27" t="s">
        <v>23</v>
      </c>
      <c r="C33" s="30" t="s">
        <v>12</v>
      </c>
      <c r="D33" s="18">
        <v>45275</v>
      </c>
      <c r="E33" s="18">
        <v>47102</v>
      </c>
      <c r="F33" s="20"/>
      <c r="G33" s="20"/>
      <c r="H33" s="20"/>
      <c r="I33" s="20"/>
      <c r="J33" s="20"/>
      <c r="K33" s="20"/>
      <c r="L33" s="20"/>
      <c r="M33" s="20"/>
      <c r="N33" s="20"/>
      <c r="O33" s="22"/>
      <c r="P33" s="98"/>
      <c r="Q33" s="99"/>
      <c r="R33" s="99"/>
      <c r="S33" s="100"/>
    </row>
    <row r="34" spans="2:19" ht="15.75" thickBot="1">
      <c r="B34" s="23" t="s">
        <v>25</v>
      </c>
      <c r="C34" s="29" t="s">
        <v>12</v>
      </c>
      <c r="D34" s="24">
        <v>45275</v>
      </c>
      <c r="E34" s="24">
        <v>47102</v>
      </c>
      <c r="F34" s="39"/>
      <c r="G34" s="39"/>
      <c r="H34" s="39"/>
      <c r="I34" s="39"/>
      <c r="J34" s="39"/>
      <c r="K34" s="39"/>
      <c r="L34" s="39"/>
      <c r="M34" s="39"/>
      <c r="N34" s="39"/>
      <c r="O34" s="40"/>
      <c r="P34" s="104"/>
      <c r="Q34" s="105"/>
      <c r="R34" s="105"/>
      <c r="S34" s="106"/>
    </row>
  </sheetData>
  <mergeCells count="50">
    <mergeCell ref="E31:E32"/>
    <mergeCell ref="F31:O31"/>
    <mergeCell ref="P31:S31"/>
    <mergeCell ref="P32:S32"/>
    <mergeCell ref="P34:S34"/>
    <mergeCell ref="P33:S33"/>
    <mergeCell ref="B31:B32"/>
    <mergeCell ref="C31:C32"/>
    <mergeCell ref="D31:D32"/>
    <mergeCell ref="B1:S5"/>
    <mergeCell ref="B6:S7"/>
    <mergeCell ref="P22:S22"/>
    <mergeCell ref="P23:S23"/>
    <mergeCell ref="P24:S24"/>
    <mergeCell ref="P25:S25"/>
    <mergeCell ref="P16:S16"/>
    <mergeCell ref="P17:S17"/>
    <mergeCell ref="P18:S18"/>
    <mergeCell ref="P19:S19"/>
    <mergeCell ref="P11:S11"/>
    <mergeCell ref="P9:S9"/>
    <mergeCell ref="P10:S10"/>
    <mergeCell ref="P14:S14"/>
    <mergeCell ref="P15:S15"/>
    <mergeCell ref="P20:S20"/>
    <mergeCell ref="F27:O27"/>
    <mergeCell ref="F9:O9"/>
    <mergeCell ref="F14:O14"/>
    <mergeCell ref="F20:O20"/>
    <mergeCell ref="P12:S12"/>
    <mergeCell ref="P29:S29"/>
    <mergeCell ref="P21:S21"/>
    <mergeCell ref="P27:S27"/>
    <mergeCell ref="P28:S28"/>
    <mergeCell ref="B20:B21"/>
    <mergeCell ref="C20:C21"/>
    <mergeCell ref="B27:B28"/>
    <mergeCell ref="C27:C28"/>
    <mergeCell ref="D27:D28"/>
    <mergeCell ref="E27:E28"/>
    <mergeCell ref="E9:E10"/>
    <mergeCell ref="D9:D10"/>
    <mergeCell ref="C9:C10"/>
    <mergeCell ref="B9:B10"/>
    <mergeCell ref="D20:D21"/>
    <mergeCell ref="E20:E21"/>
    <mergeCell ref="B14:B15"/>
    <mergeCell ref="C14:C15"/>
    <mergeCell ref="D14:D15"/>
    <mergeCell ref="E14:E15"/>
  </mergeCells>
  <conditionalFormatting sqref="B16:E19 B29:E29 B11:E12 B22:E25">
    <cfRule type="cellIs" dxfId="1" priority="4" operator="equal">
      <formula>""</formula>
    </cfRule>
  </conditionalFormatting>
  <conditionalFormatting sqref="B33:E34">
    <cfRule type="cellIs" dxfId="0" priority="1" operator="equal">
      <formula>""</formula>
    </cfRule>
  </conditionalFormatting>
  <pageMargins left="0.7" right="0.7" top="0.75" bottom="0.75" header="0.3" footer="0.3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4</vt:i4>
      </vt:variant>
    </vt:vector>
  </HeadingPairs>
  <TitlesOfParts>
    <vt:vector size="4" baseType="lpstr">
      <vt:lpstr>LISTA GERAL</vt:lpstr>
      <vt:lpstr>Cálculo Acuidade</vt:lpstr>
      <vt:lpstr>Cálculo end</vt:lpstr>
      <vt:lpstr>Cont. Actividade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2024-01-19T14:06:49Z</dcterms:modified>
</cp:coreProperties>
</file>